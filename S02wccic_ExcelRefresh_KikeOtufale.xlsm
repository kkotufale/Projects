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5" codeName="{6A26FB3C-EA34-E94E-B44F-155022A03E17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Shared/CIS2010/"/>
    </mc:Choice>
  </mc:AlternateContent>
  <xr:revisionPtr revIDLastSave="0" documentId="13_ncr:1_{FCC00E43-22B3-C34E-A0A0-E57E1E54FA50}" xr6:coauthVersionLast="47" xr6:coauthVersionMax="47" xr10:uidLastSave="{00000000-0000-0000-0000-000000000000}"/>
  <bookViews>
    <workbookView xWindow="7980" yWindow="500" windowWidth="12840" windowHeight="16280" activeTab="3" xr2:uid="{123D93F9-106C-4B0C-9B14-CB10A50C9FF2}"/>
  </bookViews>
  <sheets>
    <sheet name="StartHere" sheetId="1" r:id="rId1"/>
    <sheet name="UPS" sheetId="44" r:id="rId2"/>
    <sheet name="CCTeam" sheetId="45" r:id="rId3"/>
    <sheet name="ScoreByWeek" sheetId="40" r:id="rId4"/>
    <sheet name="HomeDepot" sheetId="43" r:id="rId5"/>
    <sheet name="Circulation" sheetId="41" state="hidden" r:id="rId6"/>
    <sheet name="5.ID" sheetId="4" state="veryHidden" r:id="rId7"/>
  </sheets>
  <definedNames>
    <definedName name="_xlnm._FilterDatabase" localSheetId="4" hidden="1">HomeDepot!$A$4:$K$48</definedName>
    <definedName name="_xlnm._FilterDatabase" localSheetId="3" hidden="1">ScoreByWeek!$A$1:$A$16</definedName>
    <definedName name="_xlnm._FilterDatabase" localSheetId="1" hidden="1">UPS!$B$5:$J$29</definedName>
    <definedName name="_xleta.SUM" hidden="1" xlm="1">#NAME?</definedName>
  </definedNames>
  <calcPr calcId="191029"/>
  <fileRecoveryPr autoRecover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53" i="43" l="1"/>
  <c r="B52" i="43"/>
  <c r="D53" i="43"/>
  <c r="E53" i="43"/>
  <c r="F53" i="43"/>
  <c r="C53" i="43"/>
  <c r="D52" i="43"/>
  <c r="E52" i="43"/>
  <c r="F52" i="43"/>
  <c r="C52" i="43"/>
  <c r="K7" i="43"/>
  <c r="K8" i="43"/>
  <c r="K9" i="43"/>
  <c r="K10" i="43"/>
  <c r="K11" i="43"/>
  <c r="K12" i="43"/>
  <c r="K13" i="43"/>
  <c r="K14" i="43"/>
  <c r="K15" i="43"/>
  <c r="K16" i="43"/>
  <c r="K17" i="43"/>
  <c r="K18" i="43"/>
  <c r="K19" i="43"/>
  <c r="K20" i="43"/>
  <c r="K21" i="43"/>
  <c r="K22" i="43"/>
  <c r="K23" i="43"/>
  <c r="K24" i="43"/>
  <c r="K25" i="43"/>
  <c r="K26" i="43"/>
  <c r="K27" i="43"/>
  <c r="K28" i="43"/>
  <c r="K29" i="43"/>
  <c r="K30" i="43"/>
  <c r="K31" i="43"/>
  <c r="K32" i="43"/>
  <c r="K33" i="43"/>
  <c r="K34" i="43"/>
  <c r="K35" i="43"/>
  <c r="K36" i="43"/>
  <c r="K37" i="43"/>
  <c r="K38" i="43"/>
  <c r="K39" i="43"/>
  <c r="K40" i="43"/>
  <c r="K41" i="43"/>
  <c r="K42" i="43"/>
  <c r="K43" i="43"/>
  <c r="K44" i="43"/>
  <c r="K45" i="43"/>
  <c r="K46" i="43"/>
  <c r="K47" i="43"/>
  <c r="K48" i="43"/>
  <c r="K6" i="43"/>
  <c r="J11" i="43"/>
  <c r="J12" i="43"/>
  <c r="J13" i="43"/>
  <c r="J14" i="43"/>
  <c r="J15" i="43"/>
  <c r="J16" i="43"/>
  <c r="J17" i="43"/>
  <c r="J18" i="43"/>
  <c r="J19" i="43"/>
  <c r="J20" i="43"/>
  <c r="J21" i="43"/>
  <c r="J22" i="43"/>
  <c r="J23" i="43"/>
  <c r="J24" i="43"/>
  <c r="J25" i="43"/>
  <c r="J26" i="43"/>
  <c r="J27" i="43"/>
  <c r="J28" i="43"/>
  <c r="J29" i="43"/>
  <c r="J30" i="43"/>
  <c r="J31" i="43"/>
  <c r="J32" i="43"/>
  <c r="J33" i="43"/>
  <c r="J34" i="43"/>
  <c r="J35" i="43"/>
  <c r="J36" i="43"/>
  <c r="J37" i="43"/>
  <c r="J38" i="43"/>
  <c r="J39" i="43"/>
  <c r="J40" i="43"/>
  <c r="J41" i="43"/>
  <c r="J42" i="43"/>
  <c r="J43" i="43"/>
  <c r="J44" i="43"/>
  <c r="J45" i="43"/>
  <c r="J46" i="43"/>
  <c r="J47" i="43"/>
  <c r="J48" i="43"/>
  <c r="J10" i="43"/>
  <c r="J53" i="43" s="1"/>
  <c r="I6" i="43"/>
  <c r="I7" i="43"/>
  <c r="I8" i="43"/>
  <c r="I9" i="43"/>
  <c r="I10" i="43"/>
  <c r="I11" i="43"/>
  <c r="I12" i="43"/>
  <c r="I13" i="43"/>
  <c r="I14" i="43"/>
  <c r="I15" i="43"/>
  <c r="I16" i="43"/>
  <c r="I17" i="43"/>
  <c r="I18" i="43"/>
  <c r="I19" i="43"/>
  <c r="I20" i="43"/>
  <c r="I21" i="43"/>
  <c r="I22" i="43"/>
  <c r="I23" i="43"/>
  <c r="I24" i="43"/>
  <c r="I25" i="43"/>
  <c r="I26" i="43"/>
  <c r="I27" i="43"/>
  <c r="I28" i="43"/>
  <c r="I29" i="43"/>
  <c r="I30" i="43"/>
  <c r="I31" i="43"/>
  <c r="I32" i="43"/>
  <c r="I33" i="43"/>
  <c r="I34" i="43"/>
  <c r="I35" i="43"/>
  <c r="I36" i="43"/>
  <c r="I37" i="43"/>
  <c r="I38" i="43"/>
  <c r="I39" i="43"/>
  <c r="I40" i="43"/>
  <c r="I41" i="43"/>
  <c r="I42" i="43"/>
  <c r="I43" i="43"/>
  <c r="I44" i="43"/>
  <c r="I45" i="43"/>
  <c r="I46" i="43"/>
  <c r="I47" i="43"/>
  <c r="I48" i="43"/>
  <c r="I5" i="43"/>
  <c r="I52" i="43" s="1"/>
  <c r="H10" i="43"/>
  <c r="H11" i="43"/>
  <c r="H12" i="43"/>
  <c r="H13" i="43"/>
  <c r="H14" i="43"/>
  <c r="H15" i="43"/>
  <c r="H16" i="43"/>
  <c r="H17" i="43"/>
  <c r="H18" i="43"/>
  <c r="H19" i="43"/>
  <c r="H20" i="43"/>
  <c r="H21" i="43"/>
  <c r="H22" i="43"/>
  <c r="H23" i="43"/>
  <c r="H24" i="43"/>
  <c r="H25" i="43"/>
  <c r="H26" i="43"/>
  <c r="H27" i="43"/>
  <c r="H28" i="43"/>
  <c r="H29" i="43"/>
  <c r="H30" i="43"/>
  <c r="H31" i="43"/>
  <c r="H32" i="43"/>
  <c r="H33" i="43"/>
  <c r="H34" i="43"/>
  <c r="H35" i="43"/>
  <c r="H36" i="43"/>
  <c r="H37" i="43"/>
  <c r="H38" i="43"/>
  <c r="H39" i="43"/>
  <c r="H40" i="43"/>
  <c r="H41" i="43"/>
  <c r="H42" i="43"/>
  <c r="H43" i="43"/>
  <c r="H44" i="43"/>
  <c r="H45" i="43"/>
  <c r="H46" i="43"/>
  <c r="H47" i="43"/>
  <c r="H48" i="43"/>
  <c r="H9" i="43"/>
  <c r="H53" i="43" s="1"/>
  <c r="C18" i="40"/>
  <c r="D18" i="40"/>
  <c r="E18" i="40"/>
  <c r="F18" i="40"/>
  <c r="G18" i="40"/>
  <c r="B18" i="40"/>
  <c r="I3" i="40"/>
  <c r="I4" i="40"/>
  <c r="I5" i="40"/>
  <c r="I6" i="40"/>
  <c r="I7" i="40"/>
  <c r="I8" i="40"/>
  <c r="I9" i="40"/>
  <c r="I10" i="40"/>
  <c r="I11" i="40"/>
  <c r="I12" i="40"/>
  <c r="I13" i="40"/>
  <c r="I14" i="40"/>
  <c r="I15" i="40"/>
  <c r="I16" i="40"/>
  <c r="I2" i="40"/>
  <c r="E50" i="43"/>
  <c r="F50" i="43"/>
  <c r="D50" i="43"/>
  <c r="G6" i="43"/>
  <c r="G7" i="43"/>
  <c r="G8" i="43"/>
  <c r="G9" i="43"/>
  <c r="G10" i="43"/>
  <c r="G11" i="43"/>
  <c r="G12" i="43"/>
  <c r="G13" i="43"/>
  <c r="G14" i="43"/>
  <c r="G15" i="43"/>
  <c r="G16" i="43"/>
  <c r="G17" i="43"/>
  <c r="G18" i="43"/>
  <c r="G19" i="43"/>
  <c r="G20" i="43"/>
  <c r="G21" i="43"/>
  <c r="G22" i="43"/>
  <c r="G23" i="43"/>
  <c r="G24" i="43"/>
  <c r="G25" i="43"/>
  <c r="G26" i="43"/>
  <c r="G27" i="43"/>
  <c r="G28" i="43"/>
  <c r="G29" i="43"/>
  <c r="G30" i="43"/>
  <c r="G31" i="43"/>
  <c r="G32" i="43"/>
  <c r="G33" i="43"/>
  <c r="G34" i="43"/>
  <c r="G35" i="43"/>
  <c r="G36" i="43"/>
  <c r="G37" i="43"/>
  <c r="G38" i="43"/>
  <c r="G39" i="43"/>
  <c r="G40" i="43"/>
  <c r="G41" i="43"/>
  <c r="G42" i="43"/>
  <c r="G43" i="43"/>
  <c r="G44" i="43"/>
  <c r="G45" i="43"/>
  <c r="G46" i="43"/>
  <c r="G47" i="43"/>
  <c r="G48" i="43"/>
  <c r="G5" i="43"/>
  <c r="D32" i="44"/>
  <c r="D33" i="44" s="1"/>
  <c r="E32" i="44"/>
  <c r="E33" i="44" s="1"/>
  <c r="F32" i="44"/>
  <c r="F33" i="44" s="1"/>
  <c r="H32" i="44"/>
  <c r="H33" i="44" s="1"/>
  <c r="I32" i="44"/>
  <c r="I33" i="44" s="1"/>
  <c r="J32" i="44"/>
  <c r="J33" i="44" s="1"/>
  <c r="L10" i="44"/>
  <c r="K8" i="44"/>
  <c r="L8" i="44"/>
  <c r="M8" i="44"/>
  <c r="K9" i="44"/>
  <c r="L9" i="44"/>
  <c r="M9" i="44"/>
  <c r="K10" i="44"/>
  <c r="M10" i="44"/>
  <c r="K11" i="44"/>
  <c r="L11" i="44"/>
  <c r="M11" i="44"/>
  <c r="K12" i="44"/>
  <c r="L12" i="44"/>
  <c r="M12" i="44"/>
  <c r="K13" i="44"/>
  <c r="L13" i="44"/>
  <c r="M13" i="44"/>
  <c r="K14" i="44"/>
  <c r="L14" i="44"/>
  <c r="M14" i="44"/>
  <c r="K15" i="44"/>
  <c r="L15" i="44"/>
  <c r="M15" i="44"/>
  <c r="K16" i="44"/>
  <c r="L16" i="44"/>
  <c r="M16" i="44"/>
  <c r="K17" i="44"/>
  <c r="L17" i="44"/>
  <c r="M17" i="44"/>
  <c r="K18" i="44"/>
  <c r="L18" i="44"/>
  <c r="M18" i="44"/>
  <c r="K19" i="44"/>
  <c r="L19" i="44"/>
  <c r="M19" i="44"/>
  <c r="K20" i="44"/>
  <c r="L20" i="44"/>
  <c r="M20" i="44"/>
  <c r="K21" i="44"/>
  <c r="L21" i="44"/>
  <c r="M21" i="44"/>
  <c r="K22" i="44"/>
  <c r="L22" i="44"/>
  <c r="M22" i="44"/>
  <c r="K23" i="44"/>
  <c r="L23" i="44"/>
  <c r="M23" i="44"/>
  <c r="K24" i="44"/>
  <c r="L24" i="44"/>
  <c r="M24" i="44"/>
  <c r="K25" i="44"/>
  <c r="L25" i="44"/>
  <c r="M25" i="44"/>
  <c r="K26" i="44"/>
  <c r="L26" i="44"/>
  <c r="M26" i="44"/>
  <c r="K27" i="44"/>
  <c r="L27" i="44"/>
  <c r="M27" i="44"/>
  <c r="K28" i="44"/>
  <c r="L28" i="44"/>
  <c r="M28" i="44"/>
  <c r="K29" i="44"/>
  <c r="L29" i="44"/>
  <c r="M29" i="44"/>
  <c r="K7" i="44"/>
  <c r="L7" i="44"/>
  <c r="C32" i="44"/>
  <c r="C33" i="44" s="1"/>
  <c r="M7" i="44"/>
  <c r="L6" i="44"/>
  <c r="K6" i="44"/>
  <c r="G3" i="44"/>
  <c r="J3" i="44"/>
  <c r="E3" i="44"/>
  <c r="C14" i="1"/>
  <c r="G27" i="44"/>
  <c r="G26" i="44"/>
  <c r="G25" i="44"/>
  <c r="G24" i="44"/>
  <c r="G23" i="44"/>
  <c r="C13" i="1"/>
  <c r="B19" i="40" l="1"/>
  <c r="B23" i="40" s="1"/>
  <c r="G53" i="43"/>
  <c r="H52" i="43"/>
  <c r="I53" i="43"/>
  <c r="K53" i="43"/>
  <c r="K52" i="43"/>
  <c r="G52" i="43"/>
  <c r="J52" i="43"/>
  <c r="G51" i="43"/>
  <c r="M32" i="44"/>
  <c r="M33" i="44" s="1"/>
  <c r="G32" i="44"/>
  <c r="G33" i="44" s="1"/>
  <c r="L32" i="44"/>
  <c r="L33" i="44" s="1"/>
  <c r="K32" i="44"/>
  <c r="K33" i="44" s="1"/>
  <c r="A62" i="41"/>
  <c r="E62" i="41"/>
  <c r="D23" i="40" l="1"/>
  <c r="F23" i="40"/>
  <c r="E23" i="40"/>
  <c r="C23" i="40"/>
  <c r="C18" i="1"/>
  <c r="C17" i="1"/>
  <c r="C16" i="1" l="1"/>
  <c r="C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Kurt Schmitz</author>
  </authors>
  <commentList>
    <comment ref="D14" authorId="0" shapeId="0" xr:uid="{90AB4AC3-739C-48BD-B5BA-414F05C71722}">
      <text>
        <r>
          <rPr>
            <sz val="9"/>
            <color indexed="81"/>
            <rFont val="Tahoma"/>
            <family val="2"/>
          </rPr>
          <t>Operating Loss for US Domestic Package operations. Large writeoff incurred from withdrawal from Central States Pension Fund and other one time charts.</t>
        </r>
      </text>
    </comment>
    <comment ref="D19" authorId="0" shapeId="0" xr:uid="{AD2F5A74-7E3F-44F0-9981-DA03FFD5112A}">
      <text>
        <r>
          <rPr>
            <sz val="9"/>
            <color indexed="81"/>
            <rFont val="Tahoma"/>
            <family val="2"/>
          </rPr>
          <t>Pension Plan charge &amp; restructuring charge.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tc={A9DD263A-6FCA-4D5C-999F-286ED69FF5F2}</author>
    <author>tc={5C9B0C4A-A5C4-4896-B74C-B982A52EF295}</author>
    <author>tc={0D383796-E8DC-4260-BDA3-56E1AF7AAD02}</author>
    <author>tc={5229A4F4-02B0-4C38-A55B-AFA9C60770A4}</author>
    <author>tc={27AC5960-9318-4D5E-89A1-F779DB734790}</author>
  </authors>
  <commentList>
    <comment ref="A4" authorId="0" shapeId="0" xr:uid="{A9DD263A-6FCA-4D5C-999F-286ED69FF5F2}">
      <text>
        <t>[Threaded comment]
Your version of Excel allows you to read this threaded comment; however, any edits to it will get removed if the file is opened in a newer version of Excel. Learn more: https://go.microsoft.com/fwlink/?linkid=870924
Comment:
    Fiscal year Feb-Jan.
Year denotes Feb-Dec year + Jan of following Yr</t>
      </text>
    </comment>
    <comment ref="B4" authorId="1" shapeId="0" xr:uid="{5C9B0C4A-A5C4-4896-B74C-B982A52EF295}">
      <text>
        <t>[Threaded comment]
Your version of Excel allows you to read this threaded comment; however, any edits to it will get removed if the file is opened in a newer version of Excel. Learn more: https://go.microsoft.com/fwlink/?linkid=870924
Comment:
    Employees are in thousands</t>
      </text>
    </comment>
    <comment ref="D4" authorId="2" shapeId="0" xr:uid="{0D383796-E8DC-4260-BDA3-56E1AF7AAD02}">
      <text>
        <t>[Threaded comment]
Your version of Excel allows you to read this threaded comment; however, any edits to it will get removed if the file is opened in a newer version of Excel. Learn more: https://go.microsoft.com/fwlink/?linkid=870924
Comment:
    000's omitted ($ values in thousands)</t>
      </text>
    </comment>
    <comment ref="E4" authorId="3" shapeId="0" xr:uid="{5229A4F4-02B0-4C38-A55B-AFA9C60770A4}">
      <text>
        <t>[Threaded comment]
Your version of Excel allows you to read this threaded comment; however, any edits to it will get removed if the file is opened in a newer version of Excel. Learn more: https://go.microsoft.com/fwlink/?linkid=870924
Comment:
    000's omitted ($ values in thousands)</t>
      </text>
    </comment>
    <comment ref="F4" authorId="4" shapeId="0" xr:uid="{27AC5960-9318-4D5E-89A1-F779DB734790}">
      <text>
        <t>[Threaded comment]
Your version of Excel allows you to read this threaded comment; however, any edits to it will get removed if the file is opened in a newer version of Excel. Learn more: https://go.microsoft.com/fwlink/?linkid=870924
Comment:
    000's omitted ($ values in thousands)
Earnings before taxes
Reply:
    000's omitted ($ values in thousands)</t>
      </text>
    </comment>
  </commentList>
</comments>
</file>

<file path=xl/sharedStrings.xml><?xml version="1.0" encoding="utf-8"?>
<sst xmlns="http://schemas.openxmlformats.org/spreadsheetml/2006/main" count="184" uniqueCount="129">
  <si>
    <t>Name</t>
  </si>
  <si>
    <t>Date/time</t>
  </si>
  <si>
    <t xml:space="preserve"> &lt;&lt;- enter your name here</t>
  </si>
  <si>
    <t xml:space="preserve"> &lt;&lt;- enter your Student ID here</t>
  </si>
  <si>
    <t>Panther ID</t>
  </si>
  <si>
    <t>Do Not Alter or Delete this Worksheet or you submission cannot be graded!</t>
  </si>
  <si>
    <t>(2)</t>
  </si>
  <si>
    <t>(3)</t>
  </si>
  <si>
    <t>(4)</t>
  </si>
  <si>
    <t>Action</t>
  </si>
  <si>
    <t>Date/Time</t>
  </si>
  <si>
    <t>Never use a file created or started by another student (that is academic dishonesty).
All text, codes, writing, data entry, formulas, configuration and instructions must be performed by the individual submitting the work.</t>
  </si>
  <si>
    <t>Collaboration Started</t>
  </si>
  <si>
    <t>Student ID</t>
  </si>
  <si>
    <t>(1)</t>
  </si>
  <si>
    <t>Excel release</t>
  </si>
  <si>
    <t>OS</t>
  </si>
  <si>
    <t xml:space="preserve">Change the file name to include your name. </t>
  </si>
  <si>
    <t>You must use Excel Desktop. Cloud Excel 365 will not work for this class.</t>
  </si>
  <si>
    <t>Average</t>
  </si>
  <si>
    <t>Std Deviation</t>
  </si>
  <si>
    <t>Source: Newspaper Association of America</t>
  </si>
  <si>
    <t>Sum</t>
  </si>
  <si>
    <t>Min</t>
  </si>
  <si>
    <t>Max</t>
  </si>
  <si>
    <t>Year</t>
  </si>
  <si>
    <t>Maximum</t>
  </si>
  <si>
    <t>Minimum</t>
  </si>
  <si>
    <t>http://www.naa.org/Trends-and-Numbers/Newspaper-Revenue.aspx</t>
  </si>
  <si>
    <t>D</t>
  </si>
  <si>
    <t>Total</t>
  </si>
  <si>
    <t>Subtotal</t>
  </si>
  <si>
    <t>Video</t>
  </si>
  <si>
    <t>Unit Test</t>
  </si>
  <si>
    <t>Sessions</t>
  </si>
  <si>
    <t>Annual Daily and Sunday Newspaper Circulation Expenditures</t>
  </si>
  <si>
    <t>(in $ thousands)</t>
  </si>
  <si>
    <t>Weekday</t>
  </si>
  <si>
    <t>Sunday</t>
  </si>
  <si>
    <t>% change year-to-year</t>
  </si>
  <si>
    <t>Calculate a value for 1990 using linear interpolation (https://en.wikipedia.org/wiki/Interpolation)</t>
  </si>
  <si>
    <t>B-</t>
  </si>
  <si>
    <t>C-</t>
  </si>
  <si>
    <t>A-</t>
  </si>
  <si>
    <t>CCq</t>
  </si>
  <si>
    <t>MCq</t>
  </si>
  <si>
    <t>Starter</t>
  </si>
  <si>
    <t>Refresh</t>
  </si>
  <si>
    <t>Pivot</t>
  </si>
  <si>
    <t>Crypto</t>
  </si>
  <si>
    <t>Macro</t>
  </si>
  <si>
    <t>Validation</t>
  </si>
  <si>
    <t>SQL</t>
  </si>
  <si>
    <t>Tableau</t>
  </si>
  <si>
    <t>ICq</t>
  </si>
  <si>
    <t xml:space="preserve">  </t>
  </si>
  <si>
    <t xml:space="preserve">   </t>
  </si>
  <si>
    <t>Files</t>
  </si>
  <si>
    <t>Good Job on B27</t>
  </si>
  <si>
    <t>Good job on D27</t>
  </si>
  <si>
    <t>Good job on C27</t>
  </si>
  <si>
    <t>Cumulative points by week</t>
  </si>
  <si>
    <t>DirVer</t>
  </si>
  <si>
    <t>Employees</t>
  </si>
  <si>
    <t># stores</t>
  </si>
  <si>
    <t>Sales</t>
  </si>
  <si>
    <t>Pretax Earnings</t>
  </si>
  <si>
    <t>Gross Profit</t>
  </si>
  <si>
    <t>Gross Margin % sales</t>
  </si>
  <si>
    <t>Sales/Store</t>
  </si>
  <si>
    <t>Sales/Employee</t>
  </si>
  <si>
    <t>US Daily Pkg Volume</t>
  </si>
  <si>
    <t>Airplanes</t>
  </si>
  <si>
    <t>Revenue</t>
  </si>
  <si>
    <t>Pretax Income</t>
  </si>
  <si>
    <t>Net Income</t>
  </si>
  <si>
    <t>Rev/vehicle</t>
  </si>
  <si>
    <t>Rev/aircraft</t>
  </si>
  <si>
    <t>United Parcel Service, Data from annual reports 1999 - 2022.  UPS transitioned from private ownership to publicly traded stock in 1999.</t>
  </si>
  <si>
    <t>Delivery  Vehicles</t>
  </si>
  <si>
    <t>Home Depot, Data from annual reports 1981 - 2022.  Home Depot transitioned from private ownership to publicly traded stock in 1981.</t>
  </si>
  <si>
    <t>Global Daily
Pkg Vol</t>
  </si>
  <si>
    <t>Today:</t>
  </si>
  <si>
    <r>
      <t xml:space="preserve">% </t>
    </r>
    <r>
      <rPr>
        <b/>
        <sz val="11"/>
        <color theme="1"/>
        <rFont val="Symbol"/>
        <family val="1"/>
        <charset val="2"/>
      </rPr>
      <t>D</t>
    </r>
    <r>
      <rPr>
        <b/>
        <sz val="11"/>
        <color theme="1"/>
        <rFont val="Calibri"/>
        <family val="2"/>
      </rPr>
      <t xml:space="preserve"> stores</t>
    </r>
  </si>
  <si>
    <r>
      <t xml:space="preserve">% </t>
    </r>
    <r>
      <rPr>
        <b/>
        <sz val="11"/>
        <color theme="1"/>
        <rFont val="Symbol"/>
        <family val="1"/>
        <charset val="2"/>
      </rPr>
      <t>D</t>
    </r>
    <r>
      <rPr>
        <b/>
        <sz val="11"/>
        <color theme="1"/>
        <rFont val="Calibri"/>
        <family val="2"/>
      </rPr>
      <t xml:space="preserve"> emloyees</t>
    </r>
  </si>
  <si>
    <t>Python Looping</t>
  </si>
  <si>
    <t>Python Conditions</t>
  </si>
  <si>
    <t>Python Data &amp; Assignment</t>
  </si>
  <si>
    <t>ETL (SQL &gt; Excel &gt; Tabeau)</t>
  </si>
  <si>
    <t>Data Type:</t>
  </si>
  <si>
    <t>Each week you will be meeting with your team.
You also need to record your attendance in lab each week.</t>
  </si>
  <si>
    <t>Note:</t>
  </si>
  <si>
    <t>email</t>
  </si>
  <si>
    <t xml:space="preserve"> </t>
  </si>
  <si>
    <r>
      <t xml:space="preserve">Add your name to </t>
    </r>
    <r>
      <rPr>
        <i/>
        <sz val="11"/>
        <color theme="5" tint="-0.499984740745262"/>
        <rFont val="Calibri"/>
        <family val="2"/>
        <scheme val="minor"/>
      </rPr>
      <t>Cell C4</t>
    </r>
    <r>
      <rPr>
        <sz val="11"/>
        <color theme="1"/>
        <rFont val="Calibri"/>
        <family val="2"/>
        <scheme val="minor"/>
      </rPr>
      <t xml:space="preserve"> and your Student ID to cell C6. </t>
    </r>
  </si>
  <si>
    <t>Click the [StartHere] button to open worksheets used for this assignment</t>
  </si>
  <si>
    <t>When done, close the excel file and exit Excel</t>
  </si>
  <si>
    <t>(5)</t>
  </si>
  <si>
    <t>Upload the file to the applicable iCollege assignment folder to receive credit for this workshop/tutorial</t>
  </si>
  <si>
    <t>(6)</t>
  </si>
  <si>
    <t>Boolean/Logical:</t>
  </si>
  <si>
    <t>Round</t>
  </si>
  <si>
    <t>Notes:</t>
  </si>
  <si>
    <t>Fiscal year Feb-Jan.
Year denotes Feb-Dec year + Jan of following Yr</t>
  </si>
  <si>
    <t>000's omitted ($ values in thousands)</t>
  </si>
  <si>
    <t>PreTax income</t>
  </si>
  <si>
    <t>NetIncome</t>
  </si>
  <si>
    <t>in thousands</t>
  </si>
  <si>
    <r>
      <t xml:space="preserve">% </t>
    </r>
    <r>
      <rPr>
        <b/>
        <sz val="11"/>
        <color rgb="FF0033CC"/>
        <rFont val="Symbol"/>
        <family val="1"/>
        <charset val="2"/>
      </rPr>
      <t>D</t>
    </r>
    <r>
      <rPr>
        <b/>
        <sz val="11"/>
        <color rgb="FF0033CC"/>
        <rFont val="Calibri"/>
        <family val="2"/>
      </rPr>
      <t xml:space="preserve"> emloyees</t>
    </r>
  </si>
  <si>
    <t>Empty</t>
  </si>
  <si>
    <r>
      <t xml:space="preserve">Student Identification Sheet </t>
    </r>
    <r>
      <rPr>
        <sz val="11"/>
        <color theme="0" tint="-0.14999847407452621"/>
        <rFont val="Calibri"/>
        <family val="2"/>
        <scheme val="minor"/>
      </rPr>
      <t>(version8c)</t>
    </r>
  </si>
  <si>
    <t>Spring 2025</t>
  </si>
  <si>
    <t>Unit 2 Test</t>
  </si>
  <si>
    <t>Debugging</t>
  </si>
  <si>
    <t>Security</t>
  </si>
  <si>
    <t>Unit 3 Test</t>
  </si>
  <si>
    <t>Video Project</t>
  </si>
  <si>
    <t>Me</t>
  </si>
  <si>
    <t>Kike Otufale</t>
  </si>
  <si>
    <t>002699858</t>
  </si>
  <si>
    <t>Welcome to Microsoft Excel version 16.93 build 112 running on Macintosh (Intel) Version 13.7.1 (Build 22H221)!</t>
  </si>
  <si>
    <t>Microsoft Office User</t>
  </si>
  <si>
    <t>S02</t>
  </si>
  <si>
    <t>Start S02</t>
  </si>
  <si>
    <t>Kike Otufale started S02</t>
  </si>
  <si>
    <t>Jenesis Hillie</t>
  </si>
  <si>
    <t>jhillie2@student.gsu.edu</t>
  </si>
  <si>
    <t>aotufale1@student.gsu.edu</t>
  </si>
  <si>
    <t>Team JK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</si>
</sst>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/d/yy\ h:mm\ AM/PM;@"/>
    <numFmt numFmtId="165" formatCode="mmm\-dd\ hh:mm"/>
    <numFmt numFmtId="166" formatCode="dd\-mmm\ hh:mm"/>
    <numFmt numFmtId="167" formatCode="0.0"/>
    <numFmt numFmtId="168" formatCode="0.0%"/>
    <numFmt numFmtId="169" formatCode="dd\-mmm\-yyyy\ hh:mm"/>
    <numFmt numFmtId="170" formatCode="_(* #,##0.0_);_(* \(#,##0.0\);_(* &quot;-&quot;??_);_(@_)"/>
    <numFmt numFmtId="171" formatCode="_(&quot;$&quot;* #,##0_);_(&quot;$&quot;* \(#,##0\);_(&quot;$&quot;* &quot;-&quot;??_);_(@_)"/>
    <numFmt numFmtId="172" formatCode="_(&quot;$&quot;* #,##0.0_);_(&quot;$&quot;* \(#,##0.0\);_(&quot;$&quot;* &quot;-&quot;??_);_(@_)"/>
    <numFmt numFmtId="173" formatCode="_(* #,##0_);_(* \(#,##0\);_(* &quot;-&quot;??_);_(@_)"/>
    <numFmt numFmtId="174" formatCode="#,##0.0"/>
    <numFmt numFmtId="175" formatCode="_(&quot;$&quot;* #,##0.0000_);_(&quot;$&quot;* \(#,##0.0000\);_(&quot;$&quot;* &quot;-&quot;??_);_(@_)"/>
  </numFmts>
  <fonts count="5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i/>
      <sz val="11"/>
      <color rgb="FFC0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5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i/>
      <sz val="11"/>
      <color rgb="FF0070C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0"/>
      <name val="Arial"/>
      <family val="2"/>
    </font>
    <font>
      <b/>
      <i/>
      <sz val="11"/>
      <color theme="1"/>
      <name val="Calibri"/>
      <family val="2"/>
      <scheme val="minor"/>
    </font>
    <font>
      <b/>
      <sz val="13"/>
      <color indexed="10"/>
      <name val="Trebuchet MS"/>
      <family val="2"/>
    </font>
    <font>
      <sz val="10"/>
      <color theme="9" tint="-0.249977111117893"/>
      <name val="Arial"/>
      <family val="2"/>
    </font>
    <font>
      <b/>
      <i/>
      <sz val="11"/>
      <color indexed="10"/>
      <name val="Trebuchet MS"/>
      <family val="2"/>
    </font>
    <font>
      <sz val="10"/>
      <color theme="0"/>
      <name val="Arial"/>
      <family val="2"/>
    </font>
    <font>
      <b/>
      <sz val="10"/>
      <name val="Trebuchet MS"/>
      <family val="2"/>
    </font>
    <font>
      <i/>
      <sz val="10"/>
      <color theme="9" tint="0.59999389629810485"/>
      <name val="Arial"/>
      <family val="2"/>
    </font>
    <font>
      <sz val="10"/>
      <name val="Trebuchet MS"/>
      <family val="2"/>
    </font>
    <font>
      <sz val="10"/>
      <color rgb="FF0000FF"/>
      <name val="Arial"/>
      <family val="2"/>
    </font>
    <font>
      <sz val="10"/>
      <color theme="0"/>
      <name val="Trebuchet MS"/>
      <family val="2"/>
    </font>
    <font>
      <sz val="11"/>
      <color theme="1"/>
      <name val="Bookman Old Style"/>
      <family val="1"/>
    </font>
    <font>
      <b/>
      <i/>
      <sz val="8"/>
      <color theme="4"/>
      <name val="Trebuchet MS"/>
      <family val="2"/>
    </font>
    <font>
      <b/>
      <sz val="11"/>
      <color theme="9" tint="-0.499984740745262"/>
      <name val="Calibri"/>
      <family val="2"/>
      <scheme val="minor"/>
    </font>
    <font>
      <i/>
      <sz val="11"/>
      <color theme="9" tint="-0.249977111117893"/>
      <name val="Calibri"/>
      <family val="2"/>
      <scheme val="minor"/>
    </font>
    <font>
      <i/>
      <sz val="10"/>
      <color theme="0"/>
      <name val="Arial"/>
      <family val="2"/>
    </font>
    <font>
      <sz val="8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11"/>
      <color theme="1"/>
      <name val="Symbol"/>
      <family val="1"/>
      <charset val="2"/>
    </font>
    <font>
      <b/>
      <sz val="11"/>
      <color theme="1"/>
      <name val="Calibri"/>
      <family val="2"/>
    </font>
    <font>
      <sz val="11"/>
      <color rgb="FF0070C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i/>
      <sz val="11"/>
      <color rgb="FF00B0F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i/>
      <sz val="9"/>
      <color theme="0" tint="-0.499984740745262"/>
      <name val="Segoe UI"/>
      <family val="2"/>
    </font>
    <font>
      <b/>
      <sz val="11"/>
      <color rgb="FF0033CC"/>
      <name val="Calibri"/>
      <family val="2"/>
      <scheme val="minor"/>
    </font>
    <font>
      <b/>
      <sz val="11"/>
      <color rgb="FF0033CC"/>
      <name val="Symbol"/>
      <family val="1"/>
      <charset val="2"/>
    </font>
    <font>
      <b/>
      <sz val="11"/>
      <color rgb="FF0033CC"/>
      <name val="Calibri"/>
      <family val="2"/>
    </font>
    <font>
      <sz val="11"/>
      <color theme="5" tint="0.39997558519241921"/>
      <name val="Calibri"/>
      <family val="2"/>
      <scheme val="minor"/>
    </font>
    <font>
      <b/>
      <i/>
      <sz val="11"/>
      <color theme="1" tint="0.249977111117893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2"/>
      <color rgb="FF000000"/>
      <name val="System Font"/>
      <charset val="1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</fills>
  <borders count="27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 diagonalUp="1"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 diagonalDown="1">
      <left/>
      <right/>
      <top/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 style="thin">
        <color indexed="64"/>
      </right>
      <top/>
      <bottom/>
      <diagonal style="thin">
        <color indexed="64"/>
      </diagonal>
    </border>
  </borders>
  <cellStyleXfs count="100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9" fillId="0" borderId="0"/>
    <xf numFmtId="0" fontId="6" fillId="0" borderId="0" applyNumberFormat="0" applyFill="0" applyBorder="0" applyAlignment="0" applyProtection="0"/>
    <xf numFmtId="0" fontId="20" fillId="0" borderId="0"/>
  </cellStyleXfs>
  <cellXfs count="197">
    <xf numFmtId="0" fontId="0" fillId="0" borderId="0" xfId="0"/>
    <xf numFmtId="0" fontId="1" fillId="0" borderId="0" xfId="0" applyFont="1"/>
    <xf numFmtId="0" fontId="2" fillId="0" borderId="0" xfId="0" applyFont="1"/>
    <xf numFmtId="165" fontId="2" fillId="0" borderId="0" xfId="0" applyNumberFormat="1" applyFont="1"/>
    <xf numFmtId="0" fontId="5" fillId="0" borderId="0" xfId="0" applyFont="1"/>
    <xf numFmtId="165" fontId="1" fillId="0" borderId="0" xfId="0" applyNumberFormat="1" applyFont="1"/>
    <xf numFmtId="164" fontId="1" fillId="0" borderId="0" xfId="0" applyNumberFormat="1" applyFont="1"/>
    <xf numFmtId="165" fontId="0" fillId="0" borderId="0" xfId="0" applyNumberFormat="1"/>
    <xf numFmtId="0" fontId="0" fillId="0" borderId="0" xfId="0" quotePrefix="1" applyAlignment="1">
      <alignment horizontal="right" vertical="center"/>
    </xf>
    <xf numFmtId="0" fontId="0" fillId="0" borderId="0" xfId="0" applyAlignment="1">
      <alignment vertical="center"/>
    </xf>
    <xf numFmtId="0" fontId="0" fillId="0" borderId="0" xfId="0" quotePrefix="1" applyAlignment="1">
      <alignment horizontal="center" vertical="center"/>
    </xf>
    <xf numFmtId="0" fontId="13" fillId="0" borderId="0" xfId="0" applyFont="1" applyAlignment="1">
      <alignment vertical="center"/>
    </xf>
    <xf numFmtId="166" fontId="0" fillId="0" borderId="0" xfId="0" applyNumberFormat="1" applyAlignment="1">
      <alignment horizontal="left"/>
    </xf>
    <xf numFmtId="0" fontId="0" fillId="0" borderId="0" xfId="0" applyAlignment="1">
      <alignment horizontal="right"/>
    </xf>
    <xf numFmtId="165" fontId="0" fillId="0" borderId="0" xfId="0" applyNumberFormat="1" applyAlignment="1">
      <alignment horizontal="left"/>
    </xf>
    <xf numFmtId="0" fontId="11" fillId="0" borderId="0" xfId="0" applyFont="1"/>
    <xf numFmtId="0" fontId="12" fillId="0" borderId="0" xfId="0" applyFont="1"/>
    <xf numFmtId="165" fontId="4" fillId="0" borderId="0" xfId="0" applyNumberFormat="1" applyFont="1" applyAlignment="1">
      <alignment horizontal="left"/>
    </xf>
    <xf numFmtId="164" fontId="2" fillId="0" borderId="0" xfId="0" applyNumberFormat="1" applyFont="1"/>
    <xf numFmtId="0" fontId="3" fillId="0" borderId="0" xfId="0" applyFont="1"/>
    <xf numFmtId="164" fontId="0" fillId="2" borderId="1" xfId="0" applyNumberFormat="1" applyFill="1" applyBorder="1"/>
    <xf numFmtId="0" fontId="0" fillId="0" borderId="0" xfId="0" applyAlignment="1">
      <alignment horizontal="center"/>
    </xf>
    <xf numFmtId="0" fontId="6" fillId="0" borderId="0" xfId="98"/>
    <xf numFmtId="0" fontId="0" fillId="0" borderId="2" xfId="0" applyBorder="1"/>
    <xf numFmtId="9" fontId="0" fillId="0" borderId="0" xfId="0" applyNumberFormat="1"/>
    <xf numFmtId="0" fontId="13" fillId="0" borderId="0" xfId="0" applyFont="1"/>
    <xf numFmtId="0" fontId="22" fillId="0" borderId="0" xfId="99" applyFont="1" applyAlignment="1">
      <alignment horizontal="left" indent="1"/>
    </xf>
    <xf numFmtId="0" fontId="20" fillId="0" borderId="0" xfId="99"/>
    <xf numFmtId="0" fontId="23" fillId="0" borderId="0" xfId="99" applyFont="1"/>
    <xf numFmtId="0" fontId="24" fillId="0" borderId="0" xfId="99" applyFont="1" applyAlignment="1">
      <alignment horizontal="left" indent="1"/>
    </xf>
    <xf numFmtId="0" fontId="25" fillId="0" borderId="0" xfId="99" applyFont="1"/>
    <xf numFmtId="0" fontId="26" fillId="5" borderId="9" xfId="99" applyFont="1" applyFill="1" applyBorder="1" applyAlignment="1">
      <alignment wrapText="1"/>
    </xf>
    <xf numFmtId="0" fontId="20" fillId="0" borderId="0" xfId="99" applyAlignment="1">
      <alignment wrapText="1"/>
    </xf>
    <xf numFmtId="0" fontId="27" fillId="0" borderId="0" xfId="99" applyFont="1"/>
    <xf numFmtId="0" fontId="26" fillId="0" borderId="9" xfId="99" applyFont="1" applyBorder="1" applyAlignment="1">
      <alignment wrapText="1"/>
    </xf>
    <xf numFmtId="6" fontId="28" fillId="0" borderId="9" xfId="99" applyNumberFormat="1" applyFont="1" applyBorder="1" applyAlignment="1">
      <alignment horizontal="right" wrapText="1"/>
    </xf>
    <xf numFmtId="6" fontId="28" fillId="0" borderId="10" xfId="99" applyNumberFormat="1" applyFont="1" applyBorder="1" applyAlignment="1">
      <alignment horizontal="right" wrapText="1"/>
    </xf>
    <xf numFmtId="0" fontId="26" fillId="6" borderId="9" xfId="99" applyFont="1" applyFill="1" applyBorder="1" applyAlignment="1">
      <alignment wrapText="1"/>
    </xf>
    <xf numFmtId="6" fontId="28" fillId="6" borderId="9" xfId="99" applyNumberFormat="1" applyFont="1" applyFill="1" applyBorder="1" applyAlignment="1">
      <alignment horizontal="right" wrapText="1"/>
    </xf>
    <xf numFmtId="6" fontId="28" fillId="6" borderId="10" xfId="99" applyNumberFormat="1" applyFont="1" applyFill="1" applyBorder="1" applyAlignment="1">
      <alignment horizontal="right" wrapText="1"/>
    </xf>
    <xf numFmtId="2" fontId="20" fillId="0" borderId="0" xfId="99" applyNumberFormat="1"/>
    <xf numFmtId="6" fontId="28" fillId="6" borderId="11" xfId="99" applyNumberFormat="1" applyFont="1" applyFill="1" applyBorder="1" applyAlignment="1">
      <alignment horizontal="right" wrapText="1"/>
    </xf>
    <xf numFmtId="0" fontId="26" fillId="0" borderId="10" xfId="99" applyFont="1" applyBorder="1" applyAlignment="1">
      <alignment wrapText="1"/>
    </xf>
    <xf numFmtId="6" fontId="28" fillId="6" borderId="12" xfId="99" applyNumberFormat="1" applyFont="1" applyFill="1" applyBorder="1" applyAlignment="1">
      <alignment horizontal="right" wrapText="1"/>
    </xf>
    <xf numFmtId="168" fontId="20" fillId="0" borderId="0" xfId="99" applyNumberFormat="1"/>
    <xf numFmtId="6" fontId="28" fillId="6" borderId="13" xfId="99" applyNumberFormat="1" applyFont="1" applyFill="1" applyBorder="1" applyAlignment="1">
      <alignment horizontal="right" wrapText="1"/>
    </xf>
    <xf numFmtId="8" fontId="20" fillId="0" borderId="0" xfId="99" applyNumberFormat="1"/>
    <xf numFmtId="10" fontId="20" fillId="0" borderId="0" xfId="99" applyNumberFormat="1"/>
    <xf numFmtId="0" fontId="26" fillId="0" borderId="14" xfId="99" applyFont="1" applyBorder="1" applyAlignment="1">
      <alignment wrapText="1"/>
    </xf>
    <xf numFmtId="6" fontId="28" fillId="0" borderId="14" xfId="99" applyNumberFormat="1" applyFont="1" applyBorder="1" applyAlignment="1">
      <alignment horizontal="right" wrapText="1"/>
    </xf>
    <xf numFmtId="6" fontId="28" fillId="0" borderId="4" xfId="99" applyNumberFormat="1" applyFont="1" applyBorder="1" applyAlignment="1">
      <alignment horizontal="right" wrapText="1"/>
    </xf>
    <xf numFmtId="6" fontId="28" fillId="0" borderId="2" xfId="99" applyNumberFormat="1" applyFont="1" applyBorder="1" applyAlignment="1">
      <alignment horizontal="right" wrapText="1"/>
    </xf>
    <xf numFmtId="168" fontId="20" fillId="0" borderId="0" xfId="96" applyNumberFormat="1" applyFont="1"/>
    <xf numFmtId="0" fontId="0" fillId="0" borderId="0" xfId="0" applyAlignment="1" applyProtection="1">
      <alignment horizontal="center"/>
      <protection locked="0"/>
    </xf>
    <xf numFmtId="0" fontId="13" fillId="0" borderId="0" xfId="0" applyFont="1" applyAlignment="1">
      <alignment horizontal="left"/>
    </xf>
    <xf numFmtId="0" fontId="31" fillId="0" borderId="2" xfId="0" applyFont="1" applyBorder="1" applyAlignment="1" applyProtection="1">
      <alignment horizontal="center"/>
      <protection locked="0"/>
    </xf>
    <xf numFmtId="0" fontId="31" fillId="0" borderId="2" xfId="0" applyFont="1" applyBorder="1" applyAlignment="1" applyProtection="1">
      <alignment horizontal="center" wrapText="1"/>
      <protection locked="0"/>
    </xf>
    <xf numFmtId="0" fontId="0" fillId="0" borderId="2" xfId="0" applyBorder="1" applyProtection="1">
      <protection locked="0"/>
    </xf>
    <xf numFmtId="0" fontId="19" fillId="0" borderId="0" xfId="0" applyFont="1" applyProtection="1">
      <protection locked="0"/>
    </xf>
    <xf numFmtId="0" fontId="0" fillId="0" borderId="0" xfId="0" applyProtection="1">
      <protection locked="0"/>
    </xf>
    <xf numFmtId="0" fontId="18" fillId="0" borderId="0" xfId="0" applyFont="1" applyProtection="1">
      <protection locked="0" hidden="1"/>
    </xf>
    <xf numFmtId="168" fontId="25" fillId="0" borderId="0" xfId="96" applyNumberFormat="1" applyFont="1" applyAlignment="1">
      <alignment horizontal="center" vertical="center"/>
    </xf>
    <xf numFmtId="0" fontId="32" fillId="0" borderId="0" xfId="99" applyFont="1" applyAlignment="1" applyProtection="1">
      <alignment wrapText="1"/>
      <protection locked="0" hidden="1"/>
    </xf>
    <xf numFmtId="6" fontId="30" fillId="0" borderId="0" xfId="99" applyNumberFormat="1" applyFont="1" applyAlignment="1" applyProtection="1">
      <alignment horizontal="center" vertical="center" wrapText="1"/>
      <protection locked="0" hidden="1"/>
    </xf>
    <xf numFmtId="0" fontId="33" fillId="0" borderId="0" xfId="0" applyFont="1"/>
    <xf numFmtId="0" fontId="1" fillId="0" borderId="0" xfId="0" applyFont="1" applyProtection="1">
      <protection locked="0"/>
    </xf>
    <xf numFmtId="1" fontId="15" fillId="4" borderId="2" xfId="0" applyNumberFormat="1" applyFont="1" applyFill="1" applyBorder="1"/>
    <xf numFmtId="0" fontId="31" fillId="0" borderId="7" xfId="0" applyFont="1" applyBorder="1" applyAlignment="1" applyProtection="1">
      <alignment horizontal="left"/>
      <protection locked="0"/>
    </xf>
    <xf numFmtId="0" fontId="35" fillId="0" borderId="0" xfId="99" applyFont="1"/>
    <xf numFmtId="168" fontId="20" fillId="4" borderId="2" xfId="96" applyNumberFormat="1" applyFont="1" applyFill="1" applyBorder="1" applyProtection="1">
      <protection locked="0"/>
    </xf>
    <xf numFmtId="0" fontId="20" fillId="4" borderId="2" xfId="94" applyNumberFormat="1" applyFont="1" applyFill="1" applyBorder="1" applyProtection="1">
      <protection locked="0"/>
    </xf>
    <xf numFmtId="0" fontId="18" fillId="0" borderId="0" xfId="0" applyFont="1"/>
    <xf numFmtId="167" fontId="1" fillId="0" borderId="2" xfId="0" applyNumberFormat="1" applyFont="1" applyBorder="1" applyAlignment="1" applyProtection="1">
      <alignment horizontal="center"/>
      <protection locked="0"/>
    </xf>
    <xf numFmtId="167" fontId="1" fillId="0" borderId="5" xfId="0" applyNumberFormat="1" applyFont="1" applyBorder="1" applyAlignment="1" applyProtection="1">
      <alignment horizontal="center"/>
      <protection locked="0" hidden="1"/>
    </xf>
    <xf numFmtId="167" fontId="0" fillId="7" borderId="5" xfId="0" applyNumberFormat="1" applyFill="1" applyBorder="1" applyAlignment="1" applyProtection="1">
      <alignment horizontal="center"/>
      <protection locked="0"/>
    </xf>
    <xf numFmtId="167" fontId="21" fillId="4" borderId="2" xfId="0" applyNumberFormat="1" applyFont="1" applyFill="1" applyBorder="1" applyAlignment="1" applyProtection="1">
      <alignment horizontal="center"/>
      <protection locked="0"/>
    </xf>
    <xf numFmtId="167" fontId="0" fillId="0" borderId="15" xfId="0" applyNumberFormat="1" applyBorder="1" applyAlignment="1" applyProtection="1">
      <alignment horizontal="center"/>
      <protection locked="0"/>
    </xf>
    <xf numFmtId="167" fontId="21" fillId="4" borderId="5" xfId="0" applyNumberFormat="1" applyFont="1" applyFill="1" applyBorder="1" applyAlignment="1" applyProtection="1">
      <alignment horizontal="center"/>
      <protection locked="0"/>
    </xf>
    <xf numFmtId="49" fontId="0" fillId="3" borderId="1" xfId="0" applyNumberFormat="1" applyFill="1" applyBorder="1"/>
    <xf numFmtId="6" fontId="29" fillId="3" borderId="2" xfId="99" applyNumberFormat="1" applyFont="1" applyFill="1" applyBorder="1"/>
    <xf numFmtId="169" fontId="2" fillId="0" borderId="0" xfId="0" applyNumberFormat="1" applyFont="1"/>
    <xf numFmtId="0" fontId="37" fillId="0" borderId="0" xfId="0" applyFont="1" applyAlignment="1">
      <alignment horizontal="center"/>
    </xf>
    <xf numFmtId="172" fontId="37" fillId="0" borderId="0" xfId="0" applyNumberFormat="1" applyFont="1"/>
    <xf numFmtId="9" fontId="37" fillId="0" borderId="0" xfId="96" applyFont="1" applyAlignment="1">
      <alignment horizontal="center"/>
    </xf>
    <xf numFmtId="0" fontId="38" fillId="0" borderId="0" xfId="0" applyFont="1" applyAlignment="1">
      <alignment horizontal="center"/>
    </xf>
    <xf numFmtId="172" fontId="38" fillId="0" borderId="0" xfId="0" applyNumberFormat="1" applyFont="1"/>
    <xf numFmtId="170" fontId="0" fillId="0" borderId="0" xfId="94" applyNumberFormat="1" applyFont="1"/>
    <xf numFmtId="171" fontId="0" fillId="0" borderId="0" xfId="94" applyNumberFormat="1" applyFont="1"/>
    <xf numFmtId="171" fontId="0" fillId="0" borderId="0" xfId="0" applyNumberFormat="1"/>
    <xf numFmtId="171" fontId="17" fillId="0" borderId="0" xfId="94" applyNumberFormat="1" applyFont="1"/>
    <xf numFmtId="0" fontId="0" fillId="0" borderId="3" xfId="0" applyBorder="1" applyAlignment="1">
      <alignment horizontal="center"/>
    </xf>
    <xf numFmtId="171" fontId="0" fillId="0" borderId="3" xfId="94" applyNumberFormat="1" applyFont="1" applyBorder="1"/>
    <xf numFmtId="171" fontId="17" fillId="0" borderId="3" xfId="94" applyNumberFormat="1" applyFont="1" applyBorder="1"/>
    <xf numFmtId="171" fontId="0" fillId="0" borderId="0" xfId="94" applyNumberFormat="1" applyFont="1" applyBorder="1"/>
    <xf numFmtId="171" fontId="17" fillId="0" borderId="0" xfId="94" applyNumberFormat="1" applyFont="1" applyBorder="1"/>
    <xf numFmtId="168" fontId="0" fillId="0" borderId="0" xfId="96" applyNumberFormat="1" applyFont="1" applyFill="1" applyAlignment="1">
      <alignment horizontal="center"/>
    </xf>
    <xf numFmtId="173" fontId="0" fillId="0" borderId="0" xfId="94" applyNumberFormat="1" applyFont="1"/>
    <xf numFmtId="0" fontId="0" fillId="3" borderId="2" xfId="0" applyFill="1" applyBorder="1"/>
    <xf numFmtId="44" fontId="0" fillId="3" borderId="2" xfId="94" applyNumberFormat="1" applyFont="1" applyFill="1" applyBorder="1"/>
    <xf numFmtId="0" fontId="0" fillId="0" borderId="0" xfId="0" applyAlignment="1">
      <alignment vertical="top" wrapText="1"/>
    </xf>
    <xf numFmtId="0" fontId="0" fillId="0" borderId="17" xfId="0" applyBorder="1"/>
    <xf numFmtId="0" fontId="0" fillId="0" borderId="18" xfId="0" applyBorder="1"/>
    <xf numFmtId="171" fontId="0" fillId="9" borderId="0" xfId="94" applyNumberFormat="1" applyFont="1" applyFill="1" applyBorder="1"/>
    <xf numFmtId="171" fontId="0" fillId="9" borderId="3" xfId="94" applyNumberFormat="1" applyFont="1" applyFill="1" applyBorder="1"/>
    <xf numFmtId="0" fontId="15" fillId="9" borderId="5" xfId="0" applyFont="1" applyFill="1" applyBorder="1" applyAlignment="1">
      <alignment horizontal="center" vertical="top" wrapText="1"/>
    </xf>
    <xf numFmtId="0" fontId="15" fillId="9" borderId="6" xfId="0" applyFont="1" applyFill="1" applyBorder="1" applyAlignment="1">
      <alignment horizontal="center" vertical="top" wrapText="1"/>
    </xf>
    <xf numFmtId="49" fontId="15" fillId="9" borderId="6" xfId="94" applyNumberFormat="1" applyFont="1" applyFill="1" applyBorder="1" applyAlignment="1">
      <alignment horizontal="center" vertical="top" wrapText="1"/>
    </xf>
    <xf numFmtId="0" fontId="15" fillId="9" borderId="16" xfId="0" applyFont="1" applyFill="1" applyBorder="1" applyAlignment="1">
      <alignment horizontal="center" vertical="top" wrapText="1"/>
    </xf>
    <xf numFmtId="1" fontId="0" fillId="9" borderId="0" xfId="94" applyNumberFormat="1" applyFont="1" applyFill="1" applyBorder="1" applyAlignment="1">
      <alignment horizontal="center"/>
    </xf>
    <xf numFmtId="1" fontId="0" fillId="9" borderId="3" xfId="94" applyNumberFormat="1" applyFont="1" applyFill="1" applyBorder="1" applyAlignment="1">
      <alignment horizontal="center"/>
    </xf>
    <xf numFmtId="3" fontId="0" fillId="9" borderId="0" xfId="94" applyNumberFormat="1" applyFont="1" applyFill="1" applyBorder="1" applyAlignment="1">
      <alignment horizontal="center"/>
    </xf>
    <xf numFmtId="3" fontId="0" fillId="9" borderId="3" xfId="94" applyNumberFormat="1" applyFont="1" applyFill="1" applyBorder="1" applyAlignment="1">
      <alignment horizontal="center"/>
    </xf>
    <xf numFmtId="0" fontId="34" fillId="0" borderId="0" xfId="0" applyFont="1"/>
    <xf numFmtId="173" fontId="1" fillId="0" borderId="0" xfId="94" applyNumberFormat="1" applyFont="1"/>
    <xf numFmtId="0" fontId="37" fillId="0" borderId="17" xfId="0" applyFont="1" applyBorder="1"/>
    <xf numFmtId="171" fontId="37" fillId="0" borderId="0" xfId="94" applyNumberFormat="1" applyFont="1" applyBorder="1"/>
    <xf numFmtId="0" fontId="38" fillId="0" borderId="17" xfId="0" applyFont="1" applyBorder="1"/>
    <xf numFmtId="171" fontId="38" fillId="0" borderId="0" xfId="94" applyNumberFormat="1" applyFont="1" applyBorder="1"/>
    <xf numFmtId="0" fontId="15" fillId="0" borderId="5" xfId="0" applyFont="1" applyBorder="1" applyAlignment="1">
      <alignment horizontal="center" vertical="top"/>
    </xf>
    <xf numFmtId="0" fontId="15" fillId="0" borderId="6" xfId="0" applyFont="1" applyBorder="1" applyAlignment="1">
      <alignment horizontal="center" vertical="top"/>
    </xf>
    <xf numFmtId="49" fontId="15" fillId="0" borderId="6" xfId="94" applyNumberFormat="1" applyFont="1" applyBorder="1" applyAlignment="1">
      <alignment horizontal="center" vertical="top"/>
    </xf>
    <xf numFmtId="0" fontId="15" fillId="0" borderId="16" xfId="0" applyFont="1" applyBorder="1" applyAlignment="1">
      <alignment horizontal="center" vertical="top"/>
    </xf>
    <xf numFmtId="174" fontId="37" fillId="0" borderId="0" xfId="94" applyNumberFormat="1" applyFont="1" applyBorder="1" applyAlignment="1">
      <alignment horizontal="center"/>
    </xf>
    <xf numFmtId="174" fontId="38" fillId="0" borderId="0" xfId="94" applyNumberFormat="1" applyFont="1" applyBorder="1" applyAlignment="1">
      <alignment horizontal="center"/>
    </xf>
    <xf numFmtId="174" fontId="0" fillId="0" borderId="0" xfId="94" applyNumberFormat="1" applyFont="1" applyBorder="1" applyAlignment="1">
      <alignment horizontal="center"/>
    </xf>
    <xf numFmtId="174" fontId="0" fillId="0" borderId="3" xfId="94" applyNumberFormat="1" applyFont="1" applyBorder="1" applyAlignment="1">
      <alignment horizontal="center"/>
    </xf>
    <xf numFmtId="174" fontId="0" fillId="0" borderId="0" xfId="0" applyNumberFormat="1" applyAlignment="1">
      <alignment horizontal="center"/>
    </xf>
    <xf numFmtId="168" fontId="0" fillId="3" borderId="2" xfId="0" applyNumberFormat="1" applyFill="1" applyBorder="1" applyAlignment="1">
      <alignment horizontal="center"/>
    </xf>
    <xf numFmtId="0" fontId="1" fillId="0" borderId="0" xfId="0" applyFont="1" applyAlignment="1">
      <alignment horizontal="center"/>
    </xf>
    <xf numFmtId="171" fontId="17" fillId="9" borderId="0" xfId="94" applyNumberFormat="1" applyFont="1" applyFill="1" applyBorder="1"/>
    <xf numFmtId="171" fontId="17" fillId="9" borderId="3" xfId="94" applyNumberFormat="1" applyFont="1" applyFill="1" applyBorder="1"/>
    <xf numFmtId="171" fontId="0" fillId="0" borderId="20" xfId="0" applyNumberFormat="1" applyBorder="1"/>
    <xf numFmtId="168" fontId="0" fillId="0" borderId="20" xfId="96" applyNumberFormat="1" applyFont="1" applyFill="1" applyBorder="1" applyAlignment="1">
      <alignment horizontal="center"/>
    </xf>
    <xf numFmtId="0" fontId="0" fillId="0" borderId="20" xfId="0" applyBorder="1"/>
    <xf numFmtId="2" fontId="0" fillId="8" borderId="0" xfId="96" applyNumberFormat="1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0" fontId="15" fillId="0" borderId="2" xfId="0" applyFont="1" applyBorder="1" applyAlignment="1">
      <alignment horizontal="center" vertical="top"/>
    </xf>
    <xf numFmtId="168" fontId="0" fillId="0" borderId="20" xfId="96" applyNumberFormat="1" applyFont="1" applyBorder="1"/>
    <xf numFmtId="0" fontId="0" fillId="0" borderId="0" xfId="0" applyAlignment="1">
      <alignment horizontal="right" vertical="center"/>
    </xf>
    <xf numFmtId="0" fontId="42" fillId="0" borderId="21" xfId="0" applyFont="1" applyBorder="1" applyProtection="1">
      <protection locked="0"/>
    </xf>
    <xf numFmtId="0" fontId="42" fillId="0" borderId="22" xfId="0" applyFont="1" applyBorder="1" applyProtection="1">
      <protection hidden="1"/>
    </xf>
    <xf numFmtId="0" fontId="0" fillId="0" borderId="0" xfId="0" applyProtection="1">
      <protection hidden="1"/>
    </xf>
    <xf numFmtId="0" fontId="0" fillId="0" borderId="2" xfId="0" applyBorder="1" applyProtection="1">
      <protection locked="0" hidden="1"/>
    </xf>
    <xf numFmtId="0" fontId="0" fillId="0" borderId="2" xfId="0" applyBorder="1" applyAlignment="1">
      <alignment horizontal="center"/>
    </xf>
    <xf numFmtId="173" fontId="44" fillId="0" borderId="0" xfId="94" applyNumberFormat="1" applyFont="1"/>
    <xf numFmtId="174" fontId="44" fillId="0" borderId="0" xfId="0" applyNumberFormat="1" applyFont="1" applyAlignment="1">
      <alignment horizontal="center"/>
    </xf>
    <xf numFmtId="0" fontId="44" fillId="0" borderId="0" xfId="0" applyFont="1"/>
    <xf numFmtId="44" fontId="45" fillId="4" borderId="2" xfId="94" applyNumberFormat="1" applyFont="1" applyFill="1" applyBorder="1"/>
    <xf numFmtId="0" fontId="15" fillId="0" borderId="20" xfId="0" applyFont="1" applyBorder="1" applyAlignment="1">
      <alignment horizontal="center" vertical="top"/>
    </xf>
    <xf numFmtId="44" fontId="2" fillId="3" borderId="2" xfId="0" applyNumberFormat="1" applyFont="1" applyFill="1" applyBorder="1"/>
    <xf numFmtId="168" fontId="2" fillId="3" borderId="2" xfId="96" applyNumberFormat="1" applyFont="1" applyFill="1" applyBorder="1" applyAlignment="1">
      <alignment horizontal="center"/>
    </xf>
    <xf numFmtId="174" fontId="0" fillId="3" borderId="2" xfId="0" applyNumberFormat="1" applyFill="1" applyBorder="1" applyAlignment="1">
      <alignment horizontal="center"/>
    </xf>
    <xf numFmtId="174" fontId="1" fillId="0" borderId="0" xfId="94" applyNumberFormat="1" applyFont="1" applyFill="1" applyAlignment="1">
      <alignment horizontal="center"/>
    </xf>
    <xf numFmtId="0" fontId="46" fillId="0" borderId="0" xfId="0" quotePrefix="1" applyFont="1" applyAlignment="1">
      <alignment horizontal="center" vertical="center"/>
    </xf>
    <xf numFmtId="0" fontId="46" fillId="0" borderId="0" xfId="0" applyFont="1" applyAlignment="1">
      <alignment vertical="center" wrapText="1"/>
    </xf>
    <xf numFmtId="0" fontId="47" fillId="0" borderId="0" xfId="0" applyFont="1"/>
    <xf numFmtId="0" fontId="47" fillId="0" borderId="0" xfId="0" applyFont="1" applyAlignment="1">
      <alignment horizontal="right"/>
    </xf>
    <xf numFmtId="2" fontId="0" fillId="3" borderId="2" xfId="0" applyNumberFormat="1" applyFill="1" applyBorder="1"/>
    <xf numFmtId="1" fontId="0" fillId="9" borderId="17" xfId="0" quotePrefix="1" applyNumberFormat="1" applyFill="1" applyBorder="1" applyAlignment="1">
      <alignment horizontal="center"/>
    </xf>
    <xf numFmtId="1" fontId="0" fillId="9" borderId="18" xfId="0" quotePrefix="1" applyNumberFormat="1" applyFill="1" applyBorder="1" applyAlignment="1">
      <alignment horizontal="center"/>
    </xf>
    <xf numFmtId="44" fontId="0" fillId="0" borderId="0" xfId="94" applyNumberFormat="1" applyFont="1" applyFill="1" applyBorder="1"/>
    <xf numFmtId="170" fontId="0" fillId="0" borderId="0" xfId="94" applyNumberFormat="1" applyFont="1" applyFill="1" applyBorder="1"/>
    <xf numFmtId="171" fontId="0" fillId="0" borderId="0" xfId="94" applyNumberFormat="1" applyFont="1" applyFill="1" applyBorder="1"/>
    <xf numFmtId="171" fontId="17" fillId="0" borderId="0" xfId="94" applyNumberFormat="1" applyFont="1" applyFill="1" applyBorder="1"/>
    <xf numFmtId="168" fontId="0" fillId="0" borderId="0" xfId="96" applyNumberFormat="1" applyFont="1" applyFill="1" applyBorder="1" applyAlignment="1">
      <alignment horizontal="center"/>
    </xf>
    <xf numFmtId="0" fontId="48" fillId="0" borderId="0" xfId="0" applyFont="1"/>
    <xf numFmtId="0" fontId="49" fillId="0" borderId="0" xfId="0" applyFont="1" applyAlignment="1">
      <alignment vertical="center"/>
    </xf>
    <xf numFmtId="0" fontId="48" fillId="0" borderId="0" xfId="0" applyFont="1" applyAlignment="1">
      <alignment horizontal="center"/>
    </xf>
    <xf numFmtId="0" fontId="50" fillId="10" borderId="7" xfId="0" applyFont="1" applyFill="1" applyBorder="1" applyAlignment="1">
      <alignment horizontal="center" vertical="top" wrapText="1"/>
    </xf>
    <xf numFmtId="44" fontId="2" fillId="3" borderId="2" xfId="94" applyNumberFormat="1" applyFont="1" applyFill="1" applyBorder="1"/>
    <xf numFmtId="173" fontId="2" fillId="3" borderId="2" xfId="94" applyNumberFormat="1" applyFont="1" applyFill="1" applyBorder="1"/>
    <xf numFmtId="0" fontId="50" fillId="0" borderId="0" xfId="0" applyFont="1"/>
    <xf numFmtId="0" fontId="53" fillId="0" borderId="0" xfId="0" applyFont="1" applyAlignment="1">
      <alignment horizontal="center" vertical="center"/>
    </xf>
    <xf numFmtId="0" fontId="13" fillId="0" borderId="16" xfId="0" applyFont="1" applyBorder="1" applyProtection="1">
      <protection locked="0"/>
    </xf>
    <xf numFmtId="0" fontId="54" fillId="0" borderId="0" xfId="0" applyFont="1"/>
    <xf numFmtId="0" fontId="55" fillId="0" borderId="0" xfId="0" applyFont="1"/>
    <xf numFmtId="0" fontId="55" fillId="0" borderId="0" xfId="0" applyFont="1" applyProtection="1">
      <protection locked="0" hidden="1"/>
    </xf>
    <xf numFmtId="0" fontId="50" fillId="0" borderId="0" xfId="0" applyFont="1" applyAlignment="1">
      <alignment horizontal="left"/>
    </xf>
    <xf numFmtId="0" fontId="0" fillId="0" borderId="0" xfId="0" applyAlignment="1" applyProtection="1">
      <alignment horizontal="right"/>
      <protection hidden="1"/>
    </xf>
    <xf numFmtId="0" fontId="0" fillId="0" borderId="16" xfId="0" applyBorder="1" applyAlignment="1">
      <alignment horizontal="center"/>
    </xf>
    <xf numFmtId="0" fontId="43" fillId="3" borderId="1" xfId="0" applyFont="1" applyFill="1" applyBorder="1" applyProtection="1">
      <protection hidden="1"/>
    </xf>
    <xf numFmtId="14" fontId="0" fillId="3" borderId="2" xfId="0" applyNumberFormat="1" applyFill="1" applyBorder="1"/>
    <xf numFmtId="175" fontId="0" fillId="3" borderId="7" xfId="95" applyNumberFormat="1" applyFont="1" applyFill="1" applyBorder="1"/>
    <xf numFmtId="168" fontId="0" fillId="3" borderId="7" xfId="96" applyNumberFormat="1" applyFont="1" applyFill="1" applyBorder="1" applyAlignment="1">
      <alignment horizontal="center"/>
    </xf>
    <xf numFmtId="2" fontId="2" fillId="3" borderId="2" xfId="94" applyNumberFormat="1" applyFont="1" applyFill="1" applyBorder="1"/>
    <xf numFmtId="10" fontId="2" fillId="3" borderId="2" xfId="96" applyNumberFormat="1" applyFont="1" applyFill="1" applyBorder="1"/>
    <xf numFmtId="0" fontId="6" fillId="0" borderId="2" xfId="98" applyBorder="1" applyProtection="1">
      <protection locked="0"/>
    </xf>
    <xf numFmtId="10" fontId="37" fillId="3" borderId="19" xfId="96" applyNumberFormat="1" applyFont="1" applyFill="1" applyBorder="1" applyAlignment="1">
      <alignment horizontal="center"/>
    </xf>
    <xf numFmtId="167" fontId="0" fillId="4" borderId="2" xfId="0" applyNumberFormat="1" applyFill="1" applyBorder="1" applyAlignment="1" applyProtection="1">
      <alignment horizontal="center"/>
      <protection locked="0"/>
    </xf>
    <xf numFmtId="167" fontId="15" fillId="4" borderId="8" xfId="0" applyNumberFormat="1" applyFont="1" applyFill="1" applyBorder="1" applyAlignment="1" applyProtection="1">
      <alignment horizontal="center"/>
      <protection locked="0"/>
    </xf>
    <xf numFmtId="0" fontId="10" fillId="0" borderId="0" xfId="0" applyFont="1" applyAlignment="1">
      <alignment horizontal="center" vertical="center" wrapText="1"/>
    </xf>
    <xf numFmtId="0" fontId="41" fillId="0" borderId="0" xfId="0" applyFont="1" applyAlignment="1">
      <alignment horizontal="left" wrapText="1"/>
    </xf>
    <xf numFmtId="2" fontId="15" fillId="4" borderId="2" xfId="0" applyNumberFormat="1" applyFont="1" applyFill="1" applyBorder="1" applyAlignment="1" applyProtection="1">
      <alignment horizontal="center"/>
      <protection locked="0"/>
    </xf>
    <xf numFmtId="2" fontId="1" fillId="0" borderId="24" xfId="0" applyNumberFormat="1" applyFont="1" applyBorder="1" applyAlignment="1" applyProtection="1">
      <alignment horizontal="center"/>
      <protection locked="0"/>
    </xf>
    <xf numFmtId="2" fontId="0" fillId="0" borderId="25" xfId="0" applyNumberFormat="1" applyBorder="1" applyAlignment="1" applyProtection="1">
      <alignment horizontal="center"/>
      <protection locked="0"/>
    </xf>
    <xf numFmtId="2" fontId="15" fillId="0" borderId="26" xfId="0" applyNumberFormat="1" applyFont="1" applyBorder="1" applyAlignment="1" applyProtection="1">
      <alignment horizontal="center"/>
      <protection locked="0"/>
    </xf>
    <xf numFmtId="2" fontId="0" fillId="0" borderId="23" xfId="0" applyNumberFormat="1" applyBorder="1" applyAlignment="1" applyProtection="1">
      <alignment horizontal="center"/>
      <protection locked="0"/>
    </xf>
  </cellXfs>
  <cellStyles count="100">
    <cellStyle name="Comma" xfId="94" builtinId="3"/>
    <cellStyle name="Comma 2" xfId="92" xr:uid="{00000000-0005-0000-0000-000000000000}"/>
    <cellStyle name="Currency" xfId="95" builtinId="4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8" builtinId="8"/>
    <cellStyle name="Normal" xfId="0" builtinId="0"/>
    <cellStyle name="Normal 2" xfId="91" xr:uid="{00000000-0005-0000-0000-00005C000000}"/>
    <cellStyle name="Normal 2 2" xfId="99" xr:uid="{746457DC-6C8B-48BC-BD18-6B9EC9B43F70}"/>
    <cellStyle name="Normal 2 2 2" xfId="97" xr:uid="{9FA4C97C-FB4B-4866-9086-0C5FE51F8508}"/>
    <cellStyle name="Percent" xfId="96" builtinId="5"/>
    <cellStyle name="Percent 2" xfId="93" xr:uid="{00000000-0005-0000-0000-00005D000000}"/>
  </cellStyles>
  <dxfs count="6"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/>
        <color rgb="FF00B0F0"/>
      </font>
    </dxf>
  </dxfs>
  <tableStyles count="0" defaultTableStyle="TableStyleMedium2" defaultPivotStyle="PivotStyleLight16"/>
  <colors>
    <mruColors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Home Depot KPIs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028292153136033E-2"/>
          <c:y val="0.15782407407407409"/>
          <c:w val="0.87832962259027969"/>
          <c:h val="0.58139654418197728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HomeDepot!$B$4</c:f>
              <c:strCache>
                <c:ptCount val="1"/>
                <c:pt idx="0">
                  <c:v>Employees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HomeDepot!$A$12:$A$48</c:f>
              <c:numCache>
                <c:formatCode>General</c:formatCode>
                <c:ptCount val="37"/>
                <c:pt idx="0">
                  <c:v>1986</c:v>
                </c:pt>
                <c:pt idx="1">
                  <c:v>1987</c:v>
                </c:pt>
                <c:pt idx="2">
                  <c:v>1988</c:v>
                </c:pt>
                <c:pt idx="3">
                  <c:v>1989</c:v>
                </c:pt>
                <c:pt idx="4">
                  <c:v>1990</c:v>
                </c:pt>
                <c:pt idx="5">
                  <c:v>1991</c:v>
                </c:pt>
                <c:pt idx="6">
                  <c:v>1992</c:v>
                </c:pt>
                <c:pt idx="7">
                  <c:v>1993</c:v>
                </c:pt>
                <c:pt idx="8">
                  <c:v>1994</c:v>
                </c:pt>
                <c:pt idx="9">
                  <c:v>1995</c:v>
                </c:pt>
                <c:pt idx="10">
                  <c:v>1996</c:v>
                </c:pt>
                <c:pt idx="11">
                  <c:v>1997</c:v>
                </c:pt>
                <c:pt idx="12">
                  <c:v>1998</c:v>
                </c:pt>
                <c:pt idx="13">
                  <c:v>1999</c:v>
                </c:pt>
                <c:pt idx="14">
                  <c:v>2000</c:v>
                </c:pt>
                <c:pt idx="15">
                  <c:v>2001</c:v>
                </c:pt>
                <c:pt idx="16">
                  <c:v>2002</c:v>
                </c:pt>
                <c:pt idx="17">
                  <c:v>2003</c:v>
                </c:pt>
                <c:pt idx="18">
                  <c:v>2004</c:v>
                </c:pt>
                <c:pt idx="19">
                  <c:v>2005</c:v>
                </c:pt>
                <c:pt idx="20">
                  <c:v>2006</c:v>
                </c:pt>
                <c:pt idx="21">
                  <c:v>2007</c:v>
                </c:pt>
                <c:pt idx="22">
                  <c:v>2008</c:v>
                </c:pt>
                <c:pt idx="23">
                  <c:v>2009</c:v>
                </c:pt>
                <c:pt idx="24">
                  <c:v>2010</c:v>
                </c:pt>
                <c:pt idx="25">
                  <c:v>2011</c:v>
                </c:pt>
                <c:pt idx="26">
                  <c:v>2012</c:v>
                </c:pt>
                <c:pt idx="27">
                  <c:v>2013</c:v>
                </c:pt>
                <c:pt idx="28">
                  <c:v>2014</c:v>
                </c:pt>
                <c:pt idx="29">
                  <c:v>2015</c:v>
                </c:pt>
                <c:pt idx="30">
                  <c:v>2016</c:v>
                </c:pt>
                <c:pt idx="31">
                  <c:v>2017</c:v>
                </c:pt>
                <c:pt idx="32">
                  <c:v>2018</c:v>
                </c:pt>
                <c:pt idx="33">
                  <c:v>2019</c:v>
                </c:pt>
                <c:pt idx="34">
                  <c:v>2020</c:v>
                </c:pt>
                <c:pt idx="35">
                  <c:v>2021</c:v>
                </c:pt>
                <c:pt idx="36">
                  <c:v>2022</c:v>
                </c:pt>
              </c:numCache>
            </c:numRef>
          </c:cat>
          <c:val>
            <c:numRef>
              <c:f>HomeDepot!$B$12:$B$48</c:f>
              <c:numCache>
                <c:formatCode>#,##0.0</c:formatCode>
                <c:ptCount val="37"/>
                <c:pt idx="0">
                  <c:v>6.6</c:v>
                </c:pt>
                <c:pt idx="1">
                  <c:v>9.1</c:v>
                </c:pt>
                <c:pt idx="2">
                  <c:v>13</c:v>
                </c:pt>
                <c:pt idx="3">
                  <c:v>17.5</c:v>
                </c:pt>
                <c:pt idx="4">
                  <c:v>21.5</c:v>
                </c:pt>
                <c:pt idx="5">
                  <c:v>28</c:v>
                </c:pt>
                <c:pt idx="6">
                  <c:v>38.9</c:v>
                </c:pt>
                <c:pt idx="7">
                  <c:v>50.6</c:v>
                </c:pt>
                <c:pt idx="8">
                  <c:v>67.3</c:v>
                </c:pt>
                <c:pt idx="9">
                  <c:v>80.8</c:v>
                </c:pt>
                <c:pt idx="10">
                  <c:v>98.1</c:v>
                </c:pt>
                <c:pt idx="11">
                  <c:v>124.4</c:v>
                </c:pt>
                <c:pt idx="12">
                  <c:v>156.69999999999999</c:v>
                </c:pt>
                <c:pt idx="13">
                  <c:v>201.4</c:v>
                </c:pt>
                <c:pt idx="14">
                  <c:v>227.3</c:v>
                </c:pt>
                <c:pt idx="15">
                  <c:v>256.3</c:v>
                </c:pt>
                <c:pt idx="16">
                  <c:v>280.89999999999998</c:v>
                </c:pt>
                <c:pt idx="17">
                  <c:v>298.8</c:v>
                </c:pt>
                <c:pt idx="18">
                  <c:v>323.149</c:v>
                </c:pt>
                <c:pt idx="19">
                  <c:v>344.8</c:v>
                </c:pt>
                <c:pt idx="20">
                  <c:v>364.4</c:v>
                </c:pt>
                <c:pt idx="21">
                  <c:v>331</c:v>
                </c:pt>
                <c:pt idx="22">
                  <c:v>322</c:v>
                </c:pt>
                <c:pt idx="23">
                  <c:v>317</c:v>
                </c:pt>
                <c:pt idx="24">
                  <c:v>321</c:v>
                </c:pt>
                <c:pt idx="25">
                  <c:v>331</c:v>
                </c:pt>
                <c:pt idx="26">
                  <c:v>340</c:v>
                </c:pt>
                <c:pt idx="27">
                  <c:v>365</c:v>
                </c:pt>
                <c:pt idx="28">
                  <c:v>371</c:v>
                </c:pt>
                <c:pt idx="29">
                  <c:v>385</c:v>
                </c:pt>
                <c:pt idx="30">
                  <c:v>406</c:v>
                </c:pt>
                <c:pt idx="31">
                  <c:v>413</c:v>
                </c:pt>
                <c:pt idx="32">
                  <c:v>413</c:v>
                </c:pt>
                <c:pt idx="33">
                  <c:v>415</c:v>
                </c:pt>
                <c:pt idx="34">
                  <c:v>505</c:v>
                </c:pt>
                <c:pt idx="35">
                  <c:v>490.6</c:v>
                </c:pt>
                <c:pt idx="36">
                  <c:v>471.6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D9-4ED9-9FAA-625309409F58}"/>
            </c:ext>
          </c:extLst>
        </c:ser>
        <c:ser>
          <c:idx val="2"/>
          <c:order val="2"/>
          <c:tx>
            <c:strRef>
              <c:f>HomeDepot!$H$4</c:f>
              <c:strCache>
                <c:ptCount val="1"/>
                <c:pt idx="0">
                  <c:v>Sales/Employee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HomeDepot!$A$12:$A$48</c:f>
              <c:numCache>
                <c:formatCode>General</c:formatCode>
                <c:ptCount val="37"/>
                <c:pt idx="0">
                  <c:v>1986</c:v>
                </c:pt>
                <c:pt idx="1">
                  <c:v>1987</c:v>
                </c:pt>
                <c:pt idx="2">
                  <c:v>1988</c:v>
                </c:pt>
                <c:pt idx="3">
                  <c:v>1989</c:v>
                </c:pt>
                <c:pt idx="4">
                  <c:v>1990</c:v>
                </c:pt>
                <c:pt idx="5">
                  <c:v>1991</c:v>
                </c:pt>
                <c:pt idx="6">
                  <c:v>1992</c:v>
                </c:pt>
                <c:pt idx="7">
                  <c:v>1993</c:v>
                </c:pt>
                <c:pt idx="8">
                  <c:v>1994</c:v>
                </c:pt>
                <c:pt idx="9">
                  <c:v>1995</c:v>
                </c:pt>
                <c:pt idx="10">
                  <c:v>1996</c:v>
                </c:pt>
                <c:pt idx="11">
                  <c:v>1997</c:v>
                </c:pt>
                <c:pt idx="12">
                  <c:v>1998</c:v>
                </c:pt>
                <c:pt idx="13">
                  <c:v>1999</c:v>
                </c:pt>
                <c:pt idx="14">
                  <c:v>2000</c:v>
                </c:pt>
                <c:pt idx="15">
                  <c:v>2001</c:v>
                </c:pt>
                <c:pt idx="16">
                  <c:v>2002</c:v>
                </c:pt>
                <c:pt idx="17">
                  <c:v>2003</c:v>
                </c:pt>
                <c:pt idx="18">
                  <c:v>2004</c:v>
                </c:pt>
                <c:pt idx="19">
                  <c:v>2005</c:v>
                </c:pt>
                <c:pt idx="20">
                  <c:v>2006</c:v>
                </c:pt>
                <c:pt idx="21">
                  <c:v>2007</c:v>
                </c:pt>
                <c:pt idx="22">
                  <c:v>2008</c:v>
                </c:pt>
                <c:pt idx="23">
                  <c:v>2009</c:v>
                </c:pt>
                <c:pt idx="24">
                  <c:v>2010</c:v>
                </c:pt>
                <c:pt idx="25">
                  <c:v>2011</c:v>
                </c:pt>
                <c:pt idx="26">
                  <c:v>2012</c:v>
                </c:pt>
                <c:pt idx="27">
                  <c:v>2013</c:v>
                </c:pt>
                <c:pt idx="28">
                  <c:v>2014</c:v>
                </c:pt>
                <c:pt idx="29">
                  <c:v>2015</c:v>
                </c:pt>
                <c:pt idx="30">
                  <c:v>2016</c:v>
                </c:pt>
                <c:pt idx="31">
                  <c:v>2017</c:v>
                </c:pt>
                <c:pt idx="32">
                  <c:v>2018</c:v>
                </c:pt>
                <c:pt idx="33">
                  <c:v>2019</c:v>
                </c:pt>
                <c:pt idx="34">
                  <c:v>2020</c:v>
                </c:pt>
                <c:pt idx="35">
                  <c:v>2021</c:v>
                </c:pt>
                <c:pt idx="36">
                  <c:v>2022</c:v>
                </c:pt>
              </c:numCache>
            </c:numRef>
          </c:cat>
          <c:val>
            <c:numRef>
              <c:f>HomeDepot!$H$12:$H$48</c:f>
              <c:numCache>
                <c:formatCode>_("$"* #,##0.00_);_("$"* \(#,##0.00\);_("$"* "-"??_);_(@_)</c:formatCode>
                <c:ptCount val="37"/>
                <c:pt idx="0">
                  <c:v>153.25181818181818</c:v>
                </c:pt>
                <c:pt idx="1">
                  <c:v>159.74252747252748</c:v>
                </c:pt>
                <c:pt idx="2">
                  <c:v>153.80876923076923</c:v>
                </c:pt>
                <c:pt idx="3">
                  <c:v>157.63057142857141</c:v>
                </c:pt>
                <c:pt idx="4">
                  <c:v>177.45841860465117</c:v>
                </c:pt>
                <c:pt idx="5">
                  <c:v>183.45264285714285</c:v>
                </c:pt>
                <c:pt idx="6">
                  <c:v>183.76442159383032</c:v>
                </c:pt>
                <c:pt idx="7">
                  <c:v>182.58424901185771</c:v>
                </c:pt>
                <c:pt idx="8">
                  <c:v>185.38925705794949</c:v>
                </c:pt>
                <c:pt idx="9">
                  <c:v>191.46039603960395</c:v>
                </c:pt>
                <c:pt idx="10">
                  <c:v>199.13353720693169</c:v>
                </c:pt>
                <c:pt idx="11">
                  <c:v>194.18006430868166</c:v>
                </c:pt>
                <c:pt idx="12">
                  <c:v>192.84620293554562</c:v>
                </c:pt>
                <c:pt idx="13">
                  <c:v>190.83416087388281</c:v>
                </c:pt>
                <c:pt idx="14">
                  <c:v>201.22305323361198</c:v>
                </c:pt>
                <c:pt idx="15">
                  <c:v>208.94654701521654</c:v>
                </c:pt>
                <c:pt idx="16">
                  <c:v>207.35849056603774</c:v>
                </c:pt>
                <c:pt idx="17">
                  <c:v>213.05220883534136</c:v>
                </c:pt>
                <c:pt idx="18">
                  <c:v>220.02234263451226</c:v>
                </c:pt>
                <c:pt idx="19">
                  <c:v>223.37296983758699</c:v>
                </c:pt>
                <c:pt idx="20">
                  <c:v>216.85510428100989</c:v>
                </c:pt>
                <c:pt idx="21">
                  <c:v>233.68277945619334</c:v>
                </c:pt>
                <c:pt idx="22">
                  <c:v>221.39130434782609</c:v>
                </c:pt>
                <c:pt idx="23">
                  <c:v>208.75709779179812</c:v>
                </c:pt>
                <c:pt idx="24">
                  <c:v>211.82866043613708</c:v>
                </c:pt>
                <c:pt idx="25">
                  <c:v>212.67371601208458</c:v>
                </c:pt>
                <c:pt idx="26">
                  <c:v>219.86470588235295</c:v>
                </c:pt>
                <c:pt idx="27">
                  <c:v>215.92328767123288</c:v>
                </c:pt>
                <c:pt idx="28">
                  <c:v>224.19407008086253</c:v>
                </c:pt>
                <c:pt idx="29">
                  <c:v>229.91948051948052</c:v>
                </c:pt>
                <c:pt idx="30">
                  <c:v>232.99261083743843</c:v>
                </c:pt>
                <c:pt idx="31">
                  <c:v>244.31961259079904</c:v>
                </c:pt>
                <c:pt idx="32">
                  <c:v>261.99273607748182</c:v>
                </c:pt>
                <c:pt idx="33">
                  <c:v>265.60240963855421</c:v>
                </c:pt>
                <c:pt idx="34">
                  <c:v>262.00198019801979</c:v>
                </c:pt>
                <c:pt idx="35">
                  <c:v>308.10640032613128</c:v>
                </c:pt>
                <c:pt idx="36">
                  <c:v>333.76378286683632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FD9-4ED9-9FAA-625309409F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01280768"/>
        <c:axId val="1401278368"/>
      </c:barChart>
      <c:lineChart>
        <c:grouping val="standard"/>
        <c:varyColors val="0"/>
        <c:ser>
          <c:idx val="0"/>
          <c:order val="0"/>
          <c:tx>
            <c:strRef>
              <c:f>HomeDepot!$G$4</c:f>
              <c:strCache>
                <c:ptCount val="1"/>
                <c:pt idx="0">
                  <c:v>Gross Margin % 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HomeDepot!$A$12:$A$48</c:f>
              <c:numCache>
                <c:formatCode>General</c:formatCode>
                <c:ptCount val="37"/>
                <c:pt idx="0">
                  <c:v>1986</c:v>
                </c:pt>
                <c:pt idx="1">
                  <c:v>1987</c:v>
                </c:pt>
                <c:pt idx="2">
                  <c:v>1988</c:v>
                </c:pt>
                <c:pt idx="3">
                  <c:v>1989</c:v>
                </c:pt>
                <c:pt idx="4">
                  <c:v>1990</c:v>
                </c:pt>
                <c:pt idx="5">
                  <c:v>1991</c:v>
                </c:pt>
                <c:pt idx="6">
                  <c:v>1992</c:v>
                </c:pt>
                <c:pt idx="7">
                  <c:v>1993</c:v>
                </c:pt>
                <c:pt idx="8">
                  <c:v>1994</c:v>
                </c:pt>
                <c:pt idx="9">
                  <c:v>1995</c:v>
                </c:pt>
                <c:pt idx="10">
                  <c:v>1996</c:v>
                </c:pt>
                <c:pt idx="11">
                  <c:v>1997</c:v>
                </c:pt>
                <c:pt idx="12">
                  <c:v>1998</c:v>
                </c:pt>
                <c:pt idx="13">
                  <c:v>1999</c:v>
                </c:pt>
                <c:pt idx="14">
                  <c:v>2000</c:v>
                </c:pt>
                <c:pt idx="15">
                  <c:v>2001</c:v>
                </c:pt>
                <c:pt idx="16">
                  <c:v>2002</c:v>
                </c:pt>
                <c:pt idx="17">
                  <c:v>2003</c:v>
                </c:pt>
                <c:pt idx="18">
                  <c:v>2004</c:v>
                </c:pt>
                <c:pt idx="19">
                  <c:v>2005</c:v>
                </c:pt>
                <c:pt idx="20">
                  <c:v>2006</c:v>
                </c:pt>
                <c:pt idx="21">
                  <c:v>2007</c:v>
                </c:pt>
                <c:pt idx="22">
                  <c:v>2008</c:v>
                </c:pt>
                <c:pt idx="23">
                  <c:v>2009</c:v>
                </c:pt>
                <c:pt idx="24">
                  <c:v>2010</c:v>
                </c:pt>
                <c:pt idx="25">
                  <c:v>2011</c:v>
                </c:pt>
                <c:pt idx="26">
                  <c:v>2012</c:v>
                </c:pt>
                <c:pt idx="27">
                  <c:v>2013</c:v>
                </c:pt>
                <c:pt idx="28">
                  <c:v>2014</c:v>
                </c:pt>
                <c:pt idx="29">
                  <c:v>2015</c:v>
                </c:pt>
                <c:pt idx="30">
                  <c:v>2016</c:v>
                </c:pt>
                <c:pt idx="31">
                  <c:v>2017</c:v>
                </c:pt>
                <c:pt idx="32">
                  <c:v>2018</c:v>
                </c:pt>
                <c:pt idx="33">
                  <c:v>2019</c:v>
                </c:pt>
                <c:pt idx="34">
                  <c:v>2020</c:v>
                </c:pt>
                <c:pt idx="35">
                  <c:v>2021</c:v>
                </c:pt>
                <c:pt idx="36">
                  <c:v>2022</c:v>
                </c:pt>
              </c:numCache>
            </c:numRef>
          </c:cat>
          <c:val>
            <c:numRef>
              <c:f>HomeDepot!$G$12:$G$48</c:f>
              <c:numCache>
                <c:formatCode>0.00%</c:formatCode>
                <c:ptCount val="37"/>
                <c:pt idx="0">
                  <c:v>0.27500785990971482</c:v>
                </c:pt>
                <c:pt idx="1">
                  <c:v>0.27774020969183238</c:v>
                </c:pt>
                <c:pt idx="2">
                  <c:v>0.26989158365482813</c:v>
                </c:pt>
                <c:pt idx="3">
                  <c:v>0.27795840908308217</c:v>
                </c:pt>
                <c:pt idx="4">
                  <c:v>0.27894408804840232</c:v>
                </c:pt>
                <c:pt idx="5">
                  <c:v>0.28118136366060997</c:v>
                </c:pt>
                <c:pt idx="6">
                  <c:v>0.27545437911173859</c:v>
                </c:pt>
                <c:pt idx="7">
                  <c:v>0.27637671839833972</c:v>
                </c:pt>
                <c:pt idx="8">
                  <c:v>0.19921081677306102</c:v>
                </c:pt>
                <c:pt idx="9">
                  <c:v>0.27702559793148029</c:v>
                </c:pt>
                <c:pt idx="10">
                  <c:v>0.27816739186076272</c:v>
                </c:pt>
                <c:pt idx="11">
                  <c:v>0.28071700612684219</c:v>
                </c:pt>
                <c:pt idx="12">
                  <c:v>0.28475462457394357</c:v>
                </c:pt>
                <c:pt idx="13">
                  <c:v>0.29689857938283809</c:v>
                </c:pt>
                <c:pt idx="14">
                  <c:v>0.29911670820761732</c:v>
                </c:pt>
                <c:pt idx="15">
                  <c:v>0.30151438761600657</c:v>
                </c:pt>
                <c:pt idx="16">
                  <c:v>0.31088296392947279</c:v>
                </c:pt>
                <c:pt idx="17">
                  <c:v>0.3232799245994345</c:v>
                </c:pt>
                <c:pt idx="18">
                  <c:v>0.34360056258790433</c:v>
                </c:pt>
                <c:pt idx="19">
                  <c:v>0.33677404276866746</c:v>
                </c:pt>
                <c:pt idx="20">
                  <c:v>0.33593176583736173</c:v>
                </c:pt>
                <c:pt idx="21">
                  <c:v>0.3361000142212569</c:v>
                </c:pt>
                <c:pt idx="22">
                  <c:v>0.33652227583885086</c:v>
                </c:pt>
                <c:pt idx="23">
                  <c:v>0.33867263056092844</c:v>
                </c:pt>
                <c:pt idx="24">
                  <c:v>0.34272100239716458</c:v>
                </c:pt>
                <c:pt idx="25">
                  <c:v>0.34465516016762554</c:v>
                </c:pt>
                <c:pt idx="26">
                  <c:v>0.34569387591299461</c:v>
                </c:pt>
                <c:pt idx="27">
                  <c:v>0.34150890727300409</c:v>
                </c:pt>
                <c:pt idx="28">
                  <c:v>0.34131239780705974</c:v>
                </c:pt>
                <c:pt idx="29">
                  <c:v>0.34190399801172627</c:v>
                </c:pt>
                <c:pt idx="30">
                  <c:v>0.34159310745811089</c:v>
                </c:pt>
                <c:pt idx="31">
                  <c:v>0.34048204233727108</c:v>
                </c:pt>
                <c:pt idx="32">
                  <c:v>0.34342855558533497</c:v>
                </c:pt>
                <c:pt idx="33">
                  <c:v>0.34086640961669312</c:v>
                </c:pt>
                <c:pt idx="34">
                  <c:v>0.33899675763919856</c:v>
                </c:pt>
                <c:pt idx="35">
                  <c:v>0.33628611311417927</c:v>
                </c:pt>
                <c:pt idx="36">
                  <c:v>0.33530491794946732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D9-4ED9-9FAA-625309409F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103295"/>
        <c:axId val="202102335"/>
      </c:lineChart>
      <c:catAx>
        <c:axId val="1401280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278368"/>
        <c:crosses val="autoZero"/>
        <c:auto val="1"/>
        <c:lblAlgn val="ctr"/>
        <c:lblOffset val="100"/>
        <c:noMultiLvlLbl val="0"/>
      </c:catAx>
      <c:valAx>
        <c:axId val="140127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280768"/>
        <c:crosses val="autoZero"/>
        <c:crossBetween val="between"/>
      </c:valAx>
      <c:valAx>
        <c:axId val="202102335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103295"/>
        <c:crosses val="max"/>
        <c:crossBetween val="between"/>
      </c:valAx>
      <c:catAx>
        <c:axId val="2021032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2102335"/>
        <c:crossesAt val="0.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50800</xdr:colOff>
      <xdr:row>9</xdr:row>
      <xdr:rowOff>25400</xdr:rowOff>
    </xdr:from>
    <xdr:to>
      <xdr:col>3</xdr:col>
      <xdr:colOff>0</xdr:colOff>
      <xdr:row>9</xdr:row>
      <xdr:rowOff>295275</xdr:rowOff>
    </xdr:to>
    <xdr:sp macro="" textlink="">
      <xdr:nvSpPr>
        <xdr:cNvPr id="1025" name="CommandButton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11</xdr:row>
      <xdr:rowOff>12700</xdr:rowOff>
    </xdr:from>
    <xdr:to>
      <xdr:col>3</xdr:col>
      <xdr:colOff>0</xdr:colOff>
      <xdr:row>12</xdr:row>
      <xdr:rowOff>85725</xdr:rowOff>
    </xdr:to>
    <xdr:sp macro="" textlink="">
      <xdr:nvSpPr>
        <xdr:cNvPr id="1028" name="CommandButton3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13</xdr:row>
      <xdr:rowOff>25400</xdr:rowOff>
    </xdr:from>
    <xdr:to>
      <xdr:col>3</xdr:col>
      <xdr:colOff>6350</xdr:colOff>
      <xdr:row>14</xdr:row>
      <xdr:rowOff>123825</xdr:rowOff>
    </xdr:to>
    <xdr:sp macro="" textlink="">
      <xdr:nvSpPr>
        <xdr:cNvPr id="1030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</xdr:colOff>
          <xdr:row>9</xdr:row>
          <xdr:rowOff>25400</xdr:rowOff>
        </xdr:from>
        <xdr:to>
          <xdr:col>3</xdr:col>
          <xdr:colOff>0</xdr:colOff>
          <xdr:row>10</xdr:row>
          <xdr:rowOff>292100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Start Here</a:t>
              </a:r>
            </a:p>
          </xdr:txBody>
        </xdr:sp>
        <xdr:clientData/>
      </xdr:twoCellAnchor>
    </mc:Choice>
    <mc:Fallback/>
  </mc:AlternateContent>
  <xdr:twoCellAnchor editAs="oneCell">
    <xdr:from>
      <xdr:col>2</xdr:col>
      <xdr:colOff>0</xdr:colOff>
      <xdr:row>13</xdr:row>
      <xdr:rowOff>25400</xdr:rowOff>
    </xdr:from>
    <xdr:to>
      <xdr:col>3</xdr:col>
      <xdr:colOff>6350</xdr:colOff>
      <xdr:row>14</xdr:row>
      <xdr:rowOff>123825</xdr:rowOff>
    </xdr:to>
    <xdr:sp macro="" textlink="">
      <xdr:nvSpPr>
        <xdr:cNvPr id="7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 bwMode="auto">
        <a:xfrm>
          <a:off x="1752600" y="3416300"/>
          <a:ext cx="1765300" cy="292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11</xdr:row>
      <xdr:rowOff>12700</xdr:rowOff>
    </xdr:from>
    <xdr:to>
      <xdr:col>3</xdr:col>
      <xdr:colOff>0</xdr:colOff>
      <xdr:row>12</xdr:row>
      <xdr:rowOff>0</xdr:rowOff>
    </xdr:to>
    <xdr:sp macro="" textlink="">
      <xdr:nvSpPr>
        <xdr:cNvPr id="2" name="CommandButton3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 bwMode="auto">
        <a:xfrm>
          <a:off x="1752600" y="2794000"/>
          <a:ext cx="1762125" cy="2635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13</xdr:row>
      <xdr:rowOff>25400</xdr:rowOff>
    </xdr:from>
    <xdr:to>
      <xdr:col>3</xdr:col>
      <xdr:colOff>6350</xdr:colOff>
      <xdr:row>14</xdr:row>
      <xdr:rowOff>9525</xdr:rowOff>
    </xdr:to>
    <xdr:sp macro="" textlink="">
      <xdr:nvSpPr>
        <xdr:cNvPr id="3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 bwMode="auto">
        <a:xfrm>
          <a:off x="1752600" y="3187700"/>
          <a:ext cx="1768475" cy="288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13</xdr:row>
      <xdr:rowOff>25400</xdr:rowOff>
    </xdr:from>
    <xdr:to>
      <xdr:col>3</xdr:col>
      <xdr:colOff>6350</xdr:colOff>
      <xdr:row>14</xdr:row>
      <xdr:rowOff>9525</xdr:rowOff>
    </xdr:to>
    <xdr:sp macro="" textlink="">
      <xdr:nvSpPr>
        <xdr:cNvPr id="4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1752600" y="3187700"/>
          <a:ext cx="1768475" cy="288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11</xdr:row>
      <xdr:rowOff>12700</xdr:rowOff>
    </xdr:from>
    <xdr:to>
      <xdr:col>3</xdr:col>
      <xdr:colOff>7854</xdr:colOff>
      <xdr:row>12</xdr:row>
      <xdr:rowOff>3175</xdr:rowOff>
    </xdr:to>
    <xdr:sp macro="" textlink="">
      <xdr:nvSpPr>
        <xdr:cNvPr id="5" name="CommandButton3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 bwMode="auto">
        <a:xfrm>
          <a:off x="1752600" y="2794000"/>
          <a:ext cx="1769979" cy="180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54</xdr:row>
      <xdr:rowOff>47625</xdr:rowOff>
    </xdr:from>
    <xdr:to>
      <xdr:col>7</xdr:col>
      <xdr:colOff>0</xdr:colOff>
      <xdr:row>68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28575</xdr:colOff>
      <xdr:row>27</xdr:row>
      <xdr:rowOff>85725</xdr:rowOff>
    </xdr:from>
    <xdr:to>
      <xdr:col>12</xdr:col>
      <xdr:colOff>219075</xdr:colOff>
      <xdr:row>43</xdr:row>
      <xdr:rowOff>160666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14950" y="5410200"/>
          <a:ext cx="4876800" cy="3122941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urt Schmitz" id="{B2F4EA5A-1ABF-4252-BEFD-DB48482BD022}" userId="S::kschmitz1@gsu.edu::0e480f8d-15de-4339-9edc-f9a29928c958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4" dT="2023-07-09T21:00:09.15" personId="{B2F4EA5A-1ABF-4252-BEFD-DB48482BD022}" id="{A9DD263A-6FCA-4D5C-999F-286ED69FF5F2}">
    <text>Fiscal year Feb-Jan.
Year denotes Feb-Dec year + Jan of following Yr</text>
  </threadedComment>
  <threadedComment ref="B4" dT="2023-07-09T20:59:45.39" personId="{B2F4EA5A-1ABF-4252-BEFD-DB48482BD022}" id="{5C9B0C4A-A5C4-4896-B74C-B982A52EF295}">
    <text>Employees are in thousands</text>
  </threadedComment>
  <threadedComment ref="D4" dT="2023-07-09T21:10:06.19" personId="{B2F4EA5A-1ABF-4252-BEFD-DB48482BD022}" id="{0D383796-E8DC-4260-BDA3-56E1AF7AAD02}">
    <text>000's omitted ($ values in thousands)</text>
  </threadedComment>
  <threadedComment ref="E4" dT="2023-07-09T21:10:30.18" personId="{B2F4EA5A-1ABF-4252-BEFD-DB48482BD022}" id="{5229A4F4-02B0-4C38-A55B-AFA9C60770A4}">
    <text>000's omitted ($ values in thousands)</text>
  </threadedComment>
  <threadedComment ref="F4" dT="2023-07-09T21:00:27.50" personId="{B2F4EA5A-1ABF-4252-BEFD-DB48482BD022}" id="{27AC5960-9318-4D5E-89A1-F779DB734790}">
    <text>000's omitted ($ values in thousands)
Earnings before taxes</text>
  </threadedComment>
  <threadedComment ref="F4" dT="2023-07-09T21:10:17.55" personId="{B2F4EA5A-1ABF-4252-BEFD-DB48482BD022}" id="{6304D909-4EDD-433D-80FB-6908AE966ABD}" parentId="{27AC5960-9318-4D5E-89A1-F779DB734790}">
    <text>000's omitted ($ values in thousands)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mailto:aotufale1@student.gsu.edu" TargetMode="External"/><Relationship Id="rId1" Type="http://schemas.openxmlformats.org/officeDocument/2006/relationships/hyperlink" Target="mailto:jhillie2@student.gsu.edu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naa.org/Trends-and-Numbers/Newspaper-Revenue.aspx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N18"/>
  <sheetViews>
    <sheetView workbookViewId="0">
      <selection activeCell="C21" sqref="C21"/>
    </sheetView>
  </sheetViews>
  <sheetFormatPr baseColWidth="10" defaultColWidth="8.83203125" defaultRowHeight="15" x14ac:dyDescent="0.2"/>
  <cols>
    <col min="2" max="2" width="17.5" customWidth="1"/>
    <col min="3" max="3" width="26.5" customWidth="1"/>
    <col min="5" max="5" width="16.5" style="14" customWidth="1"/>
    <col min="7" max="7" width="8.83203125" style="13"/>
    <col min="8" max="8" width="110" customWidth="1"/>
    <col min="10" max="12" width="8.83203125" style="2"/>
    <col min="13" max="13" width="18.83203125" style="2" customWidth="1"/>
  </cols>
  <sheetData>
    <row r="1" spans="2:14" x14ac:dyDescent="0.2">
      <c r="G1" s="8"/>
      <c r="H1" s="9"/>
    </row>
    <row r="2" spans="2:14" x14ac:dyDescent="0.2">
      <c r="B2" t="s">
        <v>110</v>
      </c>
      <c r="E2" s="17"/>
      <c r="G2" s="8"/>
      <c r="H2" s="9"/>
      <c r="M2" s="3"/>
      <c r="N2" s="2"/>
    </row>
    <row r="3" spans="2:14" ht="16" thickBot="1" x14ac:dyDescent="0.25">
      <c r="G3" s="8"/>
      <c r="H3" s="9"/>
      <c r="M3" s="18"/>
      <c r="N3" s="2"/>
    </row>
    <row r="4" spans="2:14" ht="16" thickBot="1" x14ac:dyDescent="0.25">
      <c r="B4" t="s">
        <v>0</v>
      </c>
      <c r="C4" s="78" t="s">
        <v>118</v>
      </c>
      <c r="D4" s="19" t="s">
        <v>2</v>
      </c>
      <c r="G4" s="10" t="s">
        <v>14</v>
      </c>
      <c r="H4" s="9" t="s">
        <v>94</v>
      </c>
      <c r="M4" s="18"/>
    </row>
    <row r="5" spans="2:14" ht="16" thickBot="1" x14ac:dyDescent="0.25">
      <c r="G5" s="10" t="s">
        <v>6</v>
      </c>
      <c r="H5" s="9" t="s">
        <v>17</v>
      </c>
      <c r="M5" s="18"/>
    </row>
    <row r="6" spans="2:14" ht="16" thickBot="1" x14ac:dyDescent="0.25">
      <c r="B6" t="s">
        <v>13</v>
      </c>
      <c r="C6" s="78" t="s">
        <v>119</v>
      </c>
      <c r="D6" s="19" t="s">
        <v>3</v>
      </c>
      <c r="G6" s="10" t="s">
        <v>7</v>
      </c>
      <c r="H6" s="9" t="s">
        <v>95</v>
      </c>
      <c r="M6" s="18"/>
    </row>
    <row r="7" spans="2:14" ht="16" thickBot="1" x14ac:dyDescent="0.25">
      <c r="G7" s="10" t="s">
        <v>8</v>
      </c>
      <c r="H7" s="9" t="s">
        <v>96</v>
      </c>
      <c r="M7" s="18"/>
    </row>
    <row r="8" spans="2:14" ht="16" thickBot="1" x14ac:dyDescent="0.25">
      <c r="B8" t="s">
        <v>1</v>
      </c>
      <c r="C8" s="20">
        <f ca="1">NOW()</f>
        <v>45753.838258217591</v>
      </c>
      <c r="G8" s="10" t="s">
        <v>97</v>
      </c>
      <c r="H8" s="9" t="s">
        <v>98</v>
      </c>
    </row>
    <row r="9" spans="2:14" ht="46.5" customHeight="1" x14ac:dyDescent="0.2">
      <c r="C9" s="172" t="s">
        <v>111</v>
      </c>
      <c r="G9" s="153" t="s">
        <v>99</v>
      </c>
      <c r="H9" s="154" t="s">
        <v>11</v>
      </c>
    </row>
    <row r="10" spans="2:14" ht="24" customHeight="1" x14ac:dyDescent="0.2">
      <c r="C10" s="190" t="s">
        <v>18</v>
      </c>
      <c r="E10" s="12">
        <v>45679.855619907408</v>
      </c>
      <c r="F10" t="s">
        <v>124</v>
      </c>
    </row>
    <row r="11" spans="2:14" ht="24" customHeight="1" x14ac:dyDescent="0.2">
      <c r="C11" s="190"/>
      <c r="H11" s="11"/>
    </row>
    <row r="12" spans="2:14" ht="15" customHeight="1" x14ac:dyDescent="0.2">
      <c r="C12" s="65" t="s">
        <v>12</v>
      </c>
      <c r="E12" s="12"/>
    </row>
    <row r="13" spans="2:14" ht="15" customHeight="1" x14ac:dyDescent="0.2">
      <c r="C13" s="155" t="str">
        <f ca="1">IFERROR(INFO("Directory"),"Directory path unknown")</f>
        <v>/Users/kikeotufale/Downloads/</v>
      </c>
    </row>
    <row r="14" spans="2:14" ht="15" customHeight="1" x14ac:dyDescent="0.2">
      <c r="C14" t="str">
        <f ca="1">IFERROR(IF(INFO("system")="pcdos","Directory path should be C:\Users\Public\CIS2010","Directory path should be E9/Users/Shared/CIS2010"),"You must install and use Excel Desktop starting session 2")</f>
        <v>Directory path should be E9/Users/Shared/CIS2010</v>
      </c>
    </row>
    <row r="15" spans="2:14" ht="15" customHeight="1" x14ac:dyDescent="0.2"/>
    <row r="16" spans="2:14" x14ac:dyDescent="0.2">
      <c r="C16" s="64" t="str">
        <f ca="1">IFERROR(_xlfn.TEXTJOIN(" ",TRUE,C18,", Excel version",C17),"Upgrade to Excel 2019")</f>
        <v>Macintosh (Intel) Version 13.7.4 (Build 22H420) , Excel version 16.95</v>
      </c>
    </row>
    <row r="17" spans="2:4" x14ac:dyDescent="0.2">
      <c r="B17" s="15" t="s">
        <v>15</v>
      </c>
      <c r="C17" s="15" t="str">
        <f ca="1">INFO("release")</f>
        <v>16.95</v>
      </c>
      <c r="D17" s="16"/>
    </row>
    <row r="18" spans="2:4" x14ac:dyDescent="0.2">
      <c r="B18" s="15" t="s">
        <v>16</v>
      </c>
      <c r="C18" s="15" t="str">
        <f ca="1">INFO("OSVERSION")</f>
        <v>Macintosh (Intel) Version 13.7.4 (Build 22H420)</v>
      </c>
      <c r="D18" s="15"/>
    </row>
  </sheetData>
  <sheetProtection algorithmName="SHA-512" hashValue="3K+2aNf6vpSLgKfvhDIKUZJUT6wRuh1kz2KsyQqCH/2vp86GtvHr+IL8AyyWm6e8sz09kNz79h5DjClz0j0KgA==" saltValue="65GjgRwuH5GQt9Lxr8r+5g==" spinCount="100000" sheet="1" objects="1" scenarios="1"/>
  <mergeCells count="1">
    <mergeCell ref="C10:C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autoFill="0" autoPict="0" macro="[0]!StartWorkshop_Click">
                <anchor moveWithCells="1" sizeWithCells="1">
                  <from>
                    <xdr:col>2</xdr:col>
                    <xdr:colOff>25400</xdr:colOff>
                    <xdr:row>9</xdr:row>
                    <xdr:rowOff>25400</xdr:rowOff>
                  </from>
                  <to>
                    <xdr:col>3</xdr:col>
                    <xdr:colOff>0</xdr:colOff>
                    <xdr:row>10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C3108-3107-4D36-8D46-F861A28067EA}">
  <sheetPr codeName="Sheet4"/>
  <dimension ref="A1:M44"/>
  <sheetViews>
    <sheetView topLeftCell="B1" zoomScale="85" zoomScaleNormal="85" workbookViewId="0">
      <selection activeCell="F17" sqref="F17"/>
    </sheetView>
  </sheetViews>
  <sheetFormatPr baseColWidth="10" defaultColWidth="8.83203125" defaultRowHeight="15" x14ac:dyDescent="0.2"/>
  <cols>
    <col min="2" max="2" width="14" customWidth="1"/>
    <col min="3" max="3" width="18.83203125" customWidth="1"/>
    <col min="4" max="4" width="12.5" bestFit="1" customWidth="1"/>
    <col min="5" max="5" width="12.5" style="21" customWidth="1"/>
    <col min="6" max="6" width="11.5" style="21" customWidth="1"/>
    <col min="7" max="7" width="30.6640625" style="96" customWidth="1"/>
    <col min="8" max="8" width="15.1640625" style="96" customWidth="1"/>
    <col min="9" max="9" width="18.1640625" customWidth="1"/>
    <col min="10" max="10" width="15.1640625" customWidth="1"/>
    <col min="11" max="11" width="16.1640625" customWidth="1"/>
    <col min="12" max="12" width="14.5" style="21" customWidth="1"/>
    <col min="13" max="13" width="13.5" style="21" customWidth="1"/>
    <col min="14" max="14" width="12.6640625" customWidth="1"/>
  </cols>
  <sheetData>
    <row r="1" spans="2:13" x14ac:dyDescent="0.2">
      <c r="B1" t="s">
        <v>78</v>
      </c>
      <c r="M1"/>
    </row>
    <row r="2" spans="2:13" x14ac:dyDescent="0.2">
      <c r="B2" s="1" t="s">
        <v>111</v>
      </c>
      <c r="C2" s="1" t="s">
        <v>118</v>
      </c>
      <c r="D2" t="s">
        <v>93</v>
      </c>
      <c r="M2"/>
    </row>
    <row r="3" spans="2:13" x14ac:dyDescent="0.2">
      <c r="D3" s="156" t="s">
        <v>89</v>
      </c>
      <c r="E3" s="135">
        <f>TYPE(H5)</f>
        <v>2</v>
      </c>
      <c r="F3" s="156" t="s">
        <v>82</v>
      </c>
      <c r="G3" s="181">
        <f ca="1">NOW()</f>
        <v>45753.838258101852</v>
      </c>
      <c r="H3" s="157">
        <v>45679.864057523147</v>
      </c>
      <c r="I3" s="156" t="s">
        <v>100</v>
      </c>
      <c r="J3" s="97" t="b">
        <f>H6&lt;H7</f>
        <v>1</v>
      </c>
      <c r="K3" s="21"/>
      <c r="M3"/>
    </row>
    <row r="4" spans="2:13" x14ac:dyDescent="0.2">
      <c r="B4" s="1">
        <v>1998</v>
      </c>
      <c r="C4" s="1">
        <v>1000</v>
      </c>
      <c r="D4" s="1">
        <v>1000</v>
      </c>
      <c r="E4" s="128">
        <v>1000</v>
      </c>
      <c r="F4" s="128">
        <v>1000</v>
      </c>
      <c r="G4" s="113">
        <v>1000</v>
      </c>
      <c r="H4" s="113">
        <v>1000</v>
      </c>
      <c r="I4" s="1">
        <v>1000</v>
      </c>
      <c r="J4" s="1">
        <v>1000</v>
      </c>
      <c r="K4" s="1">
        <v>1000</v>
      </c>
      <c r="L4" s="128">
        <v>1000</v>
      </c>
      <c r="M4" s="1">
        <v>0.99</v>
      </c>
    </row>
    <row r="5" spans="2:13" s="99" customFormat="1" ht="30.75" customHeight="1" x14ac:dyDescent="0.2">
      <c r="B5" s="104" t="s">
        <v>25</v>
      </c>
      <c r="C5" s="106" t="s">
        <v>73</v>
      </c>
      <c r="D5" s="106" t="s">
        <v>74</v>
      </c>
      <c r="E5" s="105" t="s">
        <v>75</v>
      </c>
      <c r="F5" s="105" t="s">
        <v>71</v>
      </c>
      <c r="G5" s="105" t="s">
        <v>81</v>
      </c>
      <c r="H5" s="105" t="s">
        <v>63</v>
      </c>
      <c r="I5" s="105" t="s">
        <v>79</v>
      </c>
      <c r="J5" s="107" t="s">
        <v>72</v>
      </c>
      <c r="K5" s="168" t="s">
        <v>76</v>
      </c>
      <c r="L5" s="168" t="s">
        <v>77</v>
      </c>
      <c r="M5" s="168" t="s">
        <v>108</v>
      </c>
    </row>
    <row r="6" spans="2:13" x14ac:dyDescent="0.2">
      <c r="B6" s="158">
        <v>1999</v>
      </c>
      <c r="C6" s="102">
        <v>27052</v>
      </c>
      <c r="D6" s="102">
        <v>2088</v>
      </c>
      <c r="E6" s="129">
        <v>883</v>
      </c>
      <c r="F6" s="110">
        <v>11907</v>
      </c>
      <c r="G6" s="110">
        <v>12921</v>
      </c>
      <c r="H6" s="110">
        <v>344</v>
      </c>
      <c r="I6" s="110">
        <v>150000</v>
      </c>
      <c r="J6" s="108">
        <v>575</v>
      </c>
      <c r="K6" s="182">
        <f>$C6/I6</f>
        <v>0.18034666666666666</v>
      </c>
      <c r="L6" s="182">
        <f>$C6/J6</f>
        <v>47.046956521739133</v>
      </c>
      <c r="M6" s="134"/>
    </row>
    <row r="7" spans="2:13" x14ac:dyDescent="0.2">
      <c r="B7" s="158">
        <v>2000</v>
      </c>
      <c r="C7" s="102">
        <v>29771</v>
      </c>
      <c r="D7" s="102">
        <v>4834</v>
      </c>
      <c r="E7" s="129">
        <v>2934</v>
      </c>
      <c r="F7" s="110">
        <v>12470</v>
      </c>
      <c r="G7" s="110">
        <v>13624</v>
      </c>
      <c r="H7" s="110">
        <v>359</v>
      </c>
      <c r="I7" s="110">
        <v>150000</v>
      </c>
      <c r="J7" s="108">
        <v>622</v>
      </c>
      <c r="K7" s="182">
        <f>$C7/I7</f>
        <v>0.19847333333333333</v>
      </c>
      <c r="L7" s="182">
        <f>$C7/J7</f>
        <v>47.863344051446944</v>
      </c>
      <c r="M7" s="183">
        <f>(H7-H6)/H6</f>
        <v>4.3604651162790699E-2</v>
      </c>
    </row>
    <row r="8" spans="2:13" x14ac:dyDescent="0.2">
      <c r="B8" s="158">
        <v>2001</v>
      </c>
      <c r="C8" s="102">
        <v>30646</v>
      </c>
      <c r="D8" s="102">
        <v>3937</v>
      </c>
      <c r="E8" s="129">
        <v>2399</v>
      </c>
      <c r="F8" s="110">
        <v>12350</v>
      </c>
      <c r="G8" s="110">
        <v>13563</v>
      </c>
      <c r="H8" s="110">
        <v>371</v>
      </c>
      <c r="I8" s="110">
        <v>150000</v>
      </c>
      <c r="J8" s="108">
        <v>599</v>
      </c>
      <c r="K8" s="182">
        <f t="shared" ref="K8:K29" si="0">$C8/I8</f>
        <v>0.20430666666666666</v>
      </c>
      <c r="L8" s="182">
        <f t="shared" ref="L8:L29" si="1">$C8/J8</f>
        <v>51.16193656093489</v>
      </c>
      <c r="M8" s="183">
        <f t="shared" ref="M8:M29" si="2">(H8-H7)/H7</f>
        <v>3.3426183844011144E-2</v>
      </c>
    </row>
    <row r="9" spans="2:13" x14ac:dyDescent="0.2">
      <c r="B9" s="158">
        <v>2002</v>
      </c>
      <c r="C9" s="102">
        <v>31272</v>
      </c>
      <c r="D9" s="102">
        <v>5009</v>
      </c>
      <c r="E9" s="129">
        <v>3182</v>
      </c>
      <c r="F9" s="110">
        <v>12118</v>
      </c>
      <c r="G9" s="110">
        <v>13340</v>
      </c>
      <c r="H9" s="110">
        <v>360</v>
      </c>
      <c r="I9" s="110">
        <v>88000</v>
      </c>
      <c r="J9" s="108">
        <v>583</v>
      </c>
      <c r="K9" s="182">
        <f t="shared" si="0"/>
        <v>0.35536363636363638</v>
      </c>
      <c r="L9" s="182">
        <f t="shared" si="1"/>
        <v>53.639794168096053</v>
      </c>
      <c r="M9" s="183">
        <f t="shared" si="2"/>
        <v>-2.9649595687331536E-2</v>
      </c>
    </row>
    <row r="10" spans="2:13" x14ac:dyDescent="0.2">
      <c r="B10" s="158">
        <v>2003</v>
      </c>
      <c r="C10" s="102">
        <v>33485</v>
      </c>
      <c r="D10" s="102">
        <v>4370</v>
      </c>
      <c r="E10" s="129">
        <v>2898</v>
      </c>
      <c r="F10" s="110">
        <v>12371</v>
      </c>
      <c r="G10" s="110">
        <v>13638</v>
      </c>
      <c r="H10" s="110">
        <v>355</v>
      </c>
      <c r="I10" s="110">
        <v>88000</v>
      </c>
      <c r="J10" s="108">
        <v>582</v>
      </c>
      <c r="K10" s="182">
        <f t="shared" si="0"/>
        <v>0.38051136363636362</v>
      </c>
      <c r="L10" s="182">
        <f>$C10/J10</f>
        <v>57.534364261168385</v>
      </c>
      <c r="M10" s="183">
        <f t="shared" si="2"/>
        <v>-1.3888888888888888E-2</v>
      </c>
    </row>
    <row r="11" spans="2:13" x14ac:dyDescent="0.2">
      <c r="B11" s="158">
        <v>2004</v>
      </c>
      <c r="C11" s="102">
        <v>36582</v>
      </c>
      <c r="D11" s="102">
        <v>4922</v>
      </c>
      <c r="E11" s="129">
        <v>3333</v>
      </c>
      <c r="F11" s="110">
        <v>12780</v>
      </c>
      <c r="G11" s="110">
        <v>14136</v>
      </c>
      <c r="H11" s="110">
        <v>384</v>
      </c>
      <c r="I11" s="110">
        <v>88000</v>
      </c>
      <c r="J11" s="108">
        <v>569</v>
      </c>
      <c r="K11" s="182">
        <f t="shared" si="0"/>
        <v>0.41570454545454544</v>
      </c>
      <c r="L11" s="182">
        <f t="shared" si="1"/>
        <v>64.291739894551839</v>
      </c>
      <c r="M11" s="183">
        <f t="shared" si="2"/>
        <v>8.1690140845070425E-2</v>
      </c>
    </row>
    <row r="12" spans="2:13" x14ac:dyDescent="0.2">
      <c r="B12" s="158">
        <v>2005</v>
      </c>
      <c r="C12" s="102">
        <v>42581</v>
      </c>
      <c r="D12" s="102">
        <v>6075</v>
      </c>
      <c r="E12" s="129">
        <v>3870</v>
      </c>
      <c r="F12" s="110">
        <v>13218</v>
      </c>
      <c r="G12" s="110">
        <v>14750</v>
      </c>
      <c r="H12" s="110">
        <v>407</v>
      </c>
      <c r="I12" s="110">
        <v>98000</v>
      </c>
      <c r="J12" s="108">
        <v>577</v>
      </c>
      <c r="K12" s="182">
        <f t="shared" si="0"/>
        <v>0.4345</v>
      </c>
      <c r="L12" s="182">
        <f t="shared" si="1"/>
        <v>73.797227036395142</v>
      </c>
      <c r="M12" s="183">
        <f t="shared" si="2"/>
        <v>5.9895833333333336E-2</v>
      </c>
    </row>
    <row r="13" spans="2:13" x14ac:dyDescent="0.2">
      <c r="B13" s="158">
        <v>2006</v>
      </c>
      <c r="C13" s="102">
        <v>47547</v>
      </c>
      <c r="D13" s="102">
        <v>6510</v>
      </c>
      <c r="E13" s="129">
        <v>4202</v>
      </c>
      <c r="F13" s="110">
        <v>13797</v>
      </c>
      <c r="G13" s="110">
        <v>15594</v>
      </c>
      <c r="H13" s="110">
        <v>428</v>
      </c>
      <c r="I13" s="110">
        <v>101000</v>
      </c>
      <c r="J13" s="108">
        <v>607</v>
      </c>
      <c r="K13" s="182">
        <f t="shared" si="0"/>
        <v>0.47076237623762374</v>
      </c>
      <c r="L13" s="182">
        <f t="shared" si="1"/>
        <v>78.331136738056017</v>
      </c>
      <c r="M13" s="183">
        <f t="shared" si="2"/>
        <v>5.1597051597051594E-2</v>
      </c>
    </row>
    <row r="14" spans="2:13" x14ac:dyDescent="0.2">
      <c r="B14" s="158">
        <v>2007</v>
      </c>
      <c r="C14" s="102">
        <v>49692</v>
      </c>
      <c r="D14" s="102">
        <v>431</v>
      </c>
      <c r="E14" s="129">
        <v>382</v>
      </c>
      <c r="F14" s="110">
        <v>13857</v>
      </c>
      <c r="G14" s="110">
        <v>15750</v>
      </c>
      <c r="H14" s="110">
        <v>425</v>
      </c>
      <c r="I14" s="110">
        <v>100000</v>
      </c>
      <c r="J14" s="108">
        <v>579</v>
      </c>
      <c r="K14" s="182">
        <f t="shared" si="0"/>
        <v>0.49691999999999997</v>
      </c>
      <c r="L14" s="182">
        <f t="shared" si="1"/>
        <v>85.823834196891198</v>
      </c>
      <c r="M14" s="183">
        <f t="shared" si="2"/>
        <v>-7.0093457943925233E-3</v>
      </c>
    </row>
    <row r="15" spans="2:13" x14ac:dyDescent="0.2">
      <c r="B15" s="158">
        <v>2008</v>
      </c>
      <c r="C15" s="102">
        <v>51486</v>
      </c>
      <c r="D15" s="102">
        <v>5015</v>
      </c>
      <c r="E15" s="129">
        <v>3003</v>
      </c>
      <c r="F15" s="110">
        <v>13576</v>
      </c>
      <c r="G15" s="110">
        <v>15539</v>
      </c>
      <c r="H15" s="110">
        <v>426</v>
      </c>
      <c r="I15" s="110">
        <v>107000</v>
      </c>
      <c r="J15" s="108">
        <v>571</v>
      </c>
      <c r="K15" s="182">
        <f t="shared" si="0"/>
        <v>0.48117757009345796</v>
      </c>
      <c r="L15" s="182">
        <f t="shared" si="1"/>
        <v>90.168126094570923</v>
      </c>
      <c r="M15" s="183">
        <f t="shared" si="2"/>
        <v>2.352941176470588E-3</v>
      </c>
    </row>
    <row r="16" spans="2:13" x14ac:dyDescent="0.2">
      <c r="B16" s="158">
        <v>2009</v>
      </c>
      <c r="C16" s="102">
        <v>45297</v>
      </c>
      <c r="D16" s="102">
        <v>3366</v>
      </c>
      <c r="E16" s="129">
        <v>2152</v>
      </c>
      <c r="F16" s="110">
        <v>13050</v>
      </c>
      <c r="G16" s="110">
        <v>15064</v>
      </c>
      <c r="H16" s="110">
        <v>408</v>
      </c>
      <c r="I16" s="110">
        <v>101900</v>
      </c>
      <c r="J16" s="108">
        <v>565</v>
      </c>
      <c r="K16" s="182">
        <f t="shared" si="0"/>
        <v>0.44452404317958782</v>
      </c>
      <c r="L16" s="182">
        <f t="shared" si="1"/>
        <v>80.1716814159292</v>
      </c>
      <c r="M16" s="183">
        <f t="shared" si="2"/>
        <v>-4.2253521126760563E-2</v>
      </c>
    </row>
    <row r="17" spans="1:13" x14ac:dyDescent="0.2">
      <c r="B17" s="158">
        <v>2010</v>
      </c>
      <c r="C17" s="102">
        <v>49545</v>
      </c>
      <c r="D17" s="102">
        <v>5523</v>
      </c>
      <c r="E17" s="129">
        <v>3488</v>
      </c>
      <c r="F17" s="110">
        <v>13286</v>
      </c>
      <c r="G17" s="110">
        <v>15574</v>
      </c>
      <c r="H17" s="110">
        <v>401</v>
      </c>
      <c r="I17" s="110">
        <v>99800</v>
      </c>
      <c r="J17" s="108">
        <v>538</v>
      </c>
      <c r="K17" s="182">
        <f t="shared" si="0"/>
        <v>0.49644288577154311</v>
      </c>
      <c r="L17" s="182">
        <f t="shared" si="1"/>
        <v>92.091078066914491</v>
      </c>
      <c r="M17" s="183">
        <f t="shared" si="2"/>
        <v>-1.7156862745098041E-2</v>
      </c>
    </row>
    <row r="18" spans="1:13" x14ac:dyDescent="0.2">
      <c r="B18" s="158">
        <v>2011</v>
      </c>
      <c r="C18" s="102">
        <v>53105</v>
      </c>
      <c r="D18" s="102">
        <v>5776</v>
      </c>
      <c r="E18" s="129">
        <v>3804</v>
      </c>
      <c r="F18" s="110">
        <v>13411</v>
      </c>
      <c r="G18" s="110">
        <v>15797</v>
      </c>
      <c r="H18" s="110">
        <v>398</v>
      </c>
      <c r="I18" s="110">
        <v>101000</v>
      </c>
      <c r="J18" s="108">
        <v>523</v>
      </c>
      <c r="K18" s="182">
        <f t="shared" si="0"/>
        <v>0.52579207920792081</v>
      </c>
      <c r="L18" s="182">
        <f t="shared" si="1"/>
        <v>101.53919694072658</v>
      </c>
      <c r="M18" s="183">
        <f t="shared" si="2"/>
        <v>-7.481296758104738E-3</v>
      </c>
    </row>
    <row r="19" spans="1:13" x14ac:dyDescent="0.2">
      <c r="B19" s="158">
        <v>2012</v>
      </c>
      <c r="C19" s="102">
        <v>54127</v>
      </c>
      <c r="D19" s="102">
        <v>974</v>
      </c>
      <c r="E19" s="129">
        <v>807</v>
      </c>
      <c r="F19" s="110">
        <v>13896</v>
      </c>
      <c r="G19" s="110">
        <v>16295</v>
      </c>
      <c r="H19" s="110">
        <v>399</v>
      </c>
      <c r="I19" s="110">
        <v>101000</v>
      </c>
      <c r="J19" s="108">
        <v>562</v>
      </c>
      <c r="K19" s="182">
        <f t="shared" si="0"/>
        <v>0.53591089108910894</v>
      </c>
      <c r="L19" s="182">
        <f t="shared" si="1"/>
        <v>96.311387900355868</v>
      </c>
      <c r="M19" s="183">
        <f t="shared" si="2"/>
        <v>2.5125628140703518E-3</v>
      </c>
    </row>
    <row r="20" spans="1:13" x14ac:dyDescent="0.2">
      <c r="B20" s="158">
        <v>2013</v>
      </c>
      <c r="C20" s="102">
        <v>55438</v>
      </c>
      <c r="D20" s="102">
        <v>6674</v>
      </c>
      <c r="E20" s="129">
        <v>4372</v>
      </c>
      <c r="F20" s="110">
        <v>14405</v>
      </c>
      <c r="G20" s="110">
        <v>16938</v>
      </c>
      <c r="H20" s="110">
        <v>395</v>
      </c>
      <c r="I20" s="110">
        <v>103000</v>
      </c>
      <c r="J20" s="108">
        <v>625</v>
      </c>
      <c r="K20" s="182">
        <f t="shared" si="0"/>
        <v>0.53823300970873789</v>
      </c>
      <c r="L20" s="182">
        <f t="shared" si="1"/>
        <v>88.700800000000001</v>
      </c>
      <c r="M20" s="183">
        <f t="shared" si="2"/>
        <v>-1.0025062656641603E-2</v>
      </c>
    </row>
    <row r="21" spans="1:13" x14ac:dyDescent="0.2">
      <c r="B21" s="158">
        <v>2014</v>
      </c>
      <c r="C21" s="102">
        <v>58232</v>
      </c>
      <c r="D21" s="102">
        <v>4637</v>
      </c>
      <c r="E21" s="129">
        <v>3032</v>
      </c>
      <c r="F21" s="110">
        <v>15322</v>
      </c>
      <c r="G21" s="110">
        <v>18016</v>
      </c>
      <c r="H21" s="110">
        <v>435</v>
      </c>
      <c r="I21" s="110">
        <v>106000</v>
      </c>
      <c r="J21" s="108">
        <v>649</v>
      </c>
      <c r="K21" s="182">
        <f t="shared" si="0"/>
        <v>0.54935849056603769</v>
      </c>
      <c r="L21" s="182">
        <f t="shared" si="1"/>
        <v>89.725731895223419</v>
      </c>
      <c r="M21" s="183">
        <f t="shared" si="2"/>
        <v>0.10126582278481013</v>
      </c>
    </row>
    <row r="22" spans="1:13" x14ac:dyDescent="0.2">
      <c r="B22" s="158">
        <v>2015</v>
      </c>
      <c r="C22" s="102">
        <v>58363</v>
      </c>
      <c r="D22" s="102">
        <v>7342</v>
      </c>
      <c r="E22" s="129">
        <v>4844</v>
      </c>
      <c r="F22" s="110">
        <v>15598</v>
      </c>
      <c r="G22" s="110">
        <v>18324</v>
      </c>
      <c r="H22" s="110">
        <v>444</v>
      </c>
      <c r="I22" s="110">
        <v>110000</v>
      </c>
      <c r="J22" s="108">
        <v>650</v>
      </c>
      <c r="K22" s="182">
        <f t="shared" si="0"/>
        <v>0.53057272727272731</v>
      </c>
      <c r="L22" s="182">
        <f t="shared" si="1"/>
        <v>89.78923076923077</v>
      </c>
      <c r="M22" s="183">
        <f t="shared" si="2"/>
        <v>2.0689655172413793E-2</v>
      </c>
    </row>
    <row r="23" spans="1:13" x14ac:dyDescent="0.2">
      <c r="B23" s="158">
        <v>2016</v>
      </c>
      <c r="C23" s="102">
        <v>60906</v>
      </c>
      <c r="D23" s="102">
        <v>5136</v>
      </c>
      <c r="E23" s="129">
        <v>3431</v>
      </c>
      <c r="F23" s="110">
        <v>16245</v>
      </c>
      <c r="G23" s="110">
        <f>F23+2845</f>
        <v>19090</v>
      </c>
      <c r="H23" s="110">
        <v>434</v>
      </c>
      <c r="I23" s="110">
        <v>114000</v>
      </c>
      <c r="J23" s="108">
        <v>657</v>
      </c>
      <c r="K23" s="182">
        <f t="shared" si="0"/>
        <v>0.53426315789473688</v>
      </c>
      <c r="L23" s="182">
        <f t="shared" si="1"/>
        <v>92.703196347031962</v>
      </c>
      <c r="M23" s="183">
        <f t="shared" si="2"/>
        <v>-2.2522522522522521E-2</v>
      </c>
    </row>
    <row r="24" spans="1:13" x14ac:dyDescent="0.2">
      <c r="B24" s="158">
        <v>2017</v>
      </c>
      <c r="C24" s="102">
        <v>65872</v>
      </c>
      <c r="D24" s="102">
        <v>7148</v>
      </c>
      <c r="E24" s="129">
        <v>4910</v>
      </c>
      <c r="F24" s="110">
        <v>16921</v>
      </c>
      <c r="G24" s="110">
        <f>F24+3109</f>
        <v>20030</v>
      </c>
      <c r="H24" s="110">
        <v>454</v>
      </c>
      <c r="I24" s="110">
        <v>119000</v>
      </c>
      <c r="J24" s="108">
        <v>581</v>
      </c>
      <c r="K24" s="182">
        <f t="shared" si="0"/>
        <v>0.55354621848739494</v>
      </c>
      <c r="L24" s="182">
        <f t="shared" si="1"/>
        <v>113.37693631669535</v>
      </c>
      <c r="M24" s="183">
        <f t="shared" si="2"/>
        <v>4.6082949308755762E-2</v>
      </c>
    </row>
    <row r="25" spans="1:13" x14ac:dyDescent="0.2">
      <c r="B25" s="158">
        <v>2018</v>
      </c>
      <c r="C25" s="102">
        <v>71861</v>
      </c>
      <c r="D25" s="102">
        <v>6019</v>
      </c>
      <c r="E25" s="129">
        <v>4791</v>
      </c>
      <c r="F25" s="110">
        <v>17472</v>
      </c>
      <c r="G25" s="110">
        <f>F25+3205</f>
        <v>20677</v>
      </c>
      <c r="H25" s="110">
        <v>481</v>
      </c>
      <c r="I25" s="110">
        <v>123000</v>
      </c>
      <c r="J25" s="108">
        <v>564</v>
      </c>
      <c r="K25" s="182">
        <f t="shared" si="0"/>
        <v>0.58423577235772362</v>
      </c>
      <c r="L25" s="182">
        <f t="shared" si="1"/>
        <v>127.41312056737588</v>
      </c>
      <c r="M25" s="183">
        <f t="shared" si="2"/>
        <v>5.9471365638766517E-2</v>
      </c>
    </row>
    <row r="26" spans="1:13" x14ac:dyDescent="0.2">
      <c r="B26" s="158">
        <v>2019</v>
      </c>
      <c r="C26" s="102">
        <v>74094</v>
      </c>
      <c r="D26" s="102">
        <v>5652</v>
      </c>
      <c r="E26" s="129">
        <v>4440</v>
      </c>
      <c r="F26" s="110">
        <v>18687</v>
      </c>
      <c r="G26" s="110">
        <f>F26+3193</f>
        <v>21880</v>
      </c>
      <c r="H26" s="110">
        <v>495</v>
      </c>
      <c r="I26" s="110">
        <v>125000</v>
      </c>
      <c r="J26" s="108">
        <v>572</v>
      </c>
      <c r="K26" s="182">
        <f t="shared" si="0"/>
        <v>0.59275199999999995</v>
      </c>
      <c r="L26" s="182">
        <f t="shared" si="1"/>
        <v>129.53496503496504</v>
      </c>
      <c r="M26" s="183">
        <f t="shared" si="2"/>
        <v>2.9106029106029108E-2</v>
      </c>
    </row>
    <row r="27" spans="1:13" x14ac:dyDescent="0.2">
      <c r="B27" s="158">
        <v>2020</v>
      </c>
      <c r="C27" s="102">
        <v>84628</v>
      </c>
      <c r="D27" s="102">
        <v>1844</v>
      </c>
      <c r="E27" s="129">
        <v>1343</v>
      </c>
      <c r="F27" s="110">
        <v>21141</v>
      </c>
      <c r="G27" s="110">
        <f>F27+3535</f>
        <v>24676</v>
      </c>
      <c r="H27" s="110">
        <v>543</v>
      </c>
      <c r="I27" s="110">
        <v>127000</v>
      </c>
      <c r="J27" s="108">
        <v>588</v>
      </c>
      <c r="K27" s="182">
        <f t="shared" si="0"/>
        <v>0.66636220472440943</v>
      </c>
      <c r="L27" s="182">
        <f t="shared" si="1"/>
        <v>143.9251700680272</v>
      </c>
      <c r="M27" s="183">
        <f t="shared" si="2"/>
        <v>9.696969696969697E-2</v>
      </c>
    </row>
    <row r="28" spans="1:13" x14ac:dyDescent="0.2">
      <c r="B28" s="158">
        <v>2021</v>
      </c>
      <c r="C28" s="102">
        <v>97287</v>
      </c>
      <c r="D28" s="102">
        <v>16595</v>
      </c>
      <c r="E28" s="129">
        <v>12890</v>
      </c>
      <c r="F28" s="110">
        <v>21462</v>
      </c>
      <c r="G28" s="110">
        <v>25250</v>
      </c>
      <c r="H28" s="110">
        <v>534</v>
      </c>
      <c r="I28" s="110">
        <v>121000</v>
      </c>
      <c r="J28" s="108">
        <v>595</v>
      </c>
      <c r="K28" s="182">
        <f t="shared" si="0"/>
        <v>0.8040247933884298</v>
      </c>
      <c r="L28" s="182">
        <f t="shared" si="1"/>
        <v>163.50756302521009</v>
      </c>
      <c r="M28" s="183">
        <f t="shared" si="2"/>
        <v>-1.6574585635359115E-2</v>
      </c>
    </row>
    <row r="29" spans="1:13" ht="14.25" customHeight="1" x14ac:dyDescent="0.2">
      <c r="B29" s="159">
        <v>2022</v>
      </c>
      <c r="C29" s="103">
        <v>100338</v>
      </c>
      <c r="D29" s="103">
        <v>14825</v>
      </c>
      <c r="E29" s="130">
        <v>11548</v>
      </c>
      <c r="F29" s="111">
        <v>20787</v>
      </c>
      <c r="G29" s="111">
        <v>24291</v>
      </c>
      <c r="H29" s="111">
        <v>536</v>
      </c>
      <c r="I29" s="111">
        <v>125000</v>
      </c>
      <c r="J29" s="109">
        <v>586</v>
      </c>
      <c r="K29" s="182">
        <f t="shared" si="0"/>
        <v>0.80270399999999997</v>
      </c>
      <c r="L29" s="182">
        <f t="shared" si="1"/>
        <v>171.22525597269623</v>
      </c>
      <c r="M29" s="183">
        <f t="shared" si="2"/>
        <v>3.7453183520599251E-3</v>
      </c>
    </row>
    <row r="30" spans="1:13" ht="14.25" customHeight="1" x14ac:dyDescent="0.2">
      <c r="D30" s="86"/>
      <c r="G30" s="87"/>
      <c r="H30" s="87"/>
      <c r="I30" s="89"/>
      <c r="J30" s="88"/>
      <c r="K30" s="131"/>
      <c r="L30" s="132"/>
      <c r="M30" s="133"/>
    </row>
    <row r="31" spans="1:13" ht="14.25" customHeight="1" x14ac:dyDescent="0.2">
      <c r="A31" s="155"/>
      <c r="B31" s="160"/>
      <c r="D31" s="161"/>
      <c r="G31" s="162"/>
      <c r="H31" s="162"/>
      <c r="I31" s="163"/>
      <c r="J31" s="88"/>
      <c r="K31" s="88"/>
      <c r="L31" s="164"/>
      <c r="M31"/>
    </row>
    <row r="32" spans="1:13" x14ac:dyDescent="0.2">
      <c r="A32" s="155" t="s">
        <v>19</v>
      </c>
      <c r="C32" s="169">
        <f>AVERAGE(C6:C29)</f>
        <v>54550.291666666664</v>
      </c>
      <c r="D32" s="169">
        <f t="shared" ref="D32:M32" si="3">AVERAGE(D6:D29)</f>
        <v>5612.583333333333</v>
      </c>
      <c r="E32" s="169">
        <f t="shared" si="3"/>
        <v>3872.4166666666665</v>
      </c>
      <c r="F32" s="184">
        <f t="shared" si="3"/>
        <v>15005.291666666666</v>
      </c>
      <c r="G32" s="184">
        <f t="shared" si="3"/>
        <v>17281.541666666668</v>
      </c>
      <c r="H32" s="184">
        <f t="shared" si="3"/>
        <v>425.66666666666669</v>
      </c>
      <c r="I32" s="184">
        <f t="shared" si="3"/>
        <v>112362.5</v>
      </c>
      <c r="J32" s="184">
        <f t="shared" si="3"/>
        <v>588.29166666666663</v>
      </c>
      <c r="K32" s="169">
        <f t="shared" si="3"/>
        <v>0.49069951800419392</v>
      </c>
      <c r="L32" s="169">
        <f t="shared" si="3"/>
        <v>92.90307391017636</v>
      </c>
      <c r="M32" s="185">
        <f t="shared" si="3"/>
        <v>2.0254283490879602E-2</v>
      </c>
    </row>
    <row r="33" spans="1:13" x14ac:dyDescent="0.2">
      <c r="A33" s="155" t="s">
        <v>101</v>
      </c>
      <c r="C33" s="169">
        <f>ROUND(C32,1)</f>
        <v>54550.3</v>
      </c>
      <c r="D33" s="169">
        <f t="shared" ref="D33:M33" si="4">ROUND(D32,1)</f>
        <v>5612.6</v>
      </c>
      <c r="E33" s="169">
        <f t="shared" si="4"/>
        <v>3872.4</v>
      </c>
      <c r="F33" s="184">
        <f t="shared" si="4"/>
        <v>15005.3</v>
      </c>
      <c r="G33" s="184">
        <f t="shared" si="4"/>
        <v>17281.5</v>
      </c>
      <c r="H33" s="184">
        <f t="shared" si="4"/>
        <v>425.7</v>
      </c>
      <c r="I33" s="184">
        <f t="shared" si="4"/>
        <v>112362.5</v>
      </c>
      <c r="J33" s="184">
        <f t="shared" si="4"/>
        <v>588.29999999999995</v>
      </c>
      <c r="K33" s="169">
        <f t="shared" si="4"/>
        <v>0.5</v>
      </c>
      <c r="L33" s="169">
        <f t="shared" si="4"/>
        <v>92.9</v>
      </c>
      <c r="M33" s="185">
        <f t="shared" si="4"/>
        <v>0</v>
      </c>
    </row>
    <row r="34" spans="1:13" x14ac:dyDescent="0.2">
      <c r="A34" s="171" t="s">
        <v>24</v>
      </c>
      <c r="C34" s="1"/>
      <c r="F34" s="170"/>
      <c r="G34" s="147" t="s">
        <v>109</v>
      </c>
      <c r="H34" s="147" t="s">
        <v>109</v>
      </c>
      <c r="I34" s="147" t="s">
        <v>109</v>
      </c>
      <c r="J34" s="147" t="s">
        <v>109</v>
      </c>
      <c r="K34" s="147" t="s">
        <v>109</v>
      </c>
      <c r="L34" s="147" t="s">
        <v>109</v>
      </c>
      <c r="M34" s="147" t="s">
        <v>109</v>
      </c>
    </row>
    <row r="35" spans="1:13" x14ac:dyDescent="0.2">
      <c r="A35" s="171" t="s">
        <v>23</v>
      </c>
      <c r="F35" s="170"/>
      <c r="G35" s="147" t="s">
        <v>109</v>
      </c>
      <c r="H35" s="147" t="s">
        <v>109</v>
      </c>
      <c r="I35" s="147" t="s">
        <v>109</v>
      </c>
      <c r="J35" s="147" t="s">
        <v>109</v>
      </c>
      <c r="K35" s="147" t="s">
        <v>109</v>
      </c>
      <c r="L35" s="147" t="s">
        <v>109</v>
      </c>
      <c r="M35" s="147" t="s">
        <v>109</v>
      </c>
    </row>
    <row r="36" spans="1:13" x14ac:dyDescent="0.2">
      <c r="M36"/>
    </row>
    <row r="37" spans="1:13" x14ac:dyDescent="0.2">
      <c r="M37"/>
    </row>
    <row r="38" spans="1:13" x14ac:dyDescent="0.2">
      <c r="M38"/>
    </row>
    <row r="39" spans="1:13" x14ac:dyDescent="0.2">
      <c r="M39"/>
    </row>
    <row r="40" spans="1:13" x14ac:dyDescent="0.2">
      <c r="A40" s="165" t="s">
        <v>102</v>
      </c>
      <c r="B40" s="165" t="s">
        <v>25</v>
      </c>
      <c r="C40" s="166" t="s">
        <v>103</v>
      </c>
      <c r="D40" s="165"/>
      <c r="E40" s="167"/>
      <c r="F40" s="167"/>
      <c r="M40"/>
    </row>
    <row r="41" spans="1:13" x14ac:dyDescent="0.2">
      <c r="A41" s="165"/>
      <c r="B41" s="165" t="s">
        <v>73</v>
      </c>
      <c r="C41" s="166" t="s">
        <v>104</v>
      </c>
      <c r="D41" s="165"/>
      <c r="E41" s="167"/>
      <c r="F41" s="167"/>
      <c r="M41"/>
    </row>
    <row r="42" spans="1:13" x14ac:dyDescent="0.2">
      <c r="A42" s="165"/>
      <c r="B42" s="165" t="s">
        <v>105</v>
      </c>
      <c r="C42" s="166" t="s">
        <v>104</v>
      </c>
      <c r="D42" s="165"/>
      <c r="E42" s="167"/>
      <c r="F42" s="167"/>
      <c r="M42"/>
    </row>
    <row r="43" spans="1:13" x14ac:dyDescent="0.2">
      <c r="A43" s="165"/>
      <c r="B43" s="165" t="s">
        <v>106</v>
      </c>
      <c r="C43" s="166" t="s">
        <v>104</v>
      </c>
      <c r="D43" s="165"/>
      <c r="E43" s="167"/>
      <c r="F43" s="167"/>
      <c r="M43"/>
    </row>
    <row r="44" spans="1:13" x14ac:dyDescent="0.2">
      <c r="A44" s="165"/>
      <c r="B44" s="165" t="s">
        <v>63</v>
      </c>
      <c r="C44" s="166" t="s">
        <v>107</v>
      </c>
      <c r="D44" s="165"/>
      <c r="E44" s="167"/>
      <c r="F44" s="167"/>
      <c r="M44"/>
    </row>
  </sheetData>
  <autoFilter ref="B5:J29" xr:uid="{42CC3108-3107-4D36-8D46-F861A28067EA}"/>
  <sortState xmlns:xlrd2="http://schemas.microsoft.com/office/spreadsheetml/2017/richdata2" ref="B6:N29">
    <sortCondition ref="B6:B29"/>
  </sortState>
  <phoneticPr fontId="36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3279B-DA2E-43D7-A12A-AF76AD00C7B2}">
  <sheetPr codeName="Sheet8"/>
  <dimension ref="A1:C6"/>
  <sheetViews>
    <sheetView workbookViewId="0">
      <selection activeCell="C15" sqref="C15"/>
    </sheetView>
  </sheetViews>
  <sheetFormatPr baseColWidth="10" defaultColWidth="8.83203125" defaultRowHeight="15" x14ac:dyDescent="0.2"/>
  <cols>
    <col min="1" max="1" width="23.33203125" customWidth="1"/>
    <col min="2" max="2" width="29.5" customWidth="1"/>
    <col min="3" max="3" width="37.5" customWidth="1"/>
  </cols>
  <sheetData>
    <row r="1" spans="1:3" ht="16" thickBot="1" x14ac:dyDescent="0.25">
      <c r="A1" s="180" t="s">
        <v>128</v>
      </c>
      <c r="B1" s="179" t="s">
        <v>0</v>
      </c>
      <c r="C1" s="143" t="s">
        <v>92</v>
      </c>
    </row>
    <row r="2" spans="1:3" x14ac:dyDescent="0.2">
      <c r="A2" s="178" t="s">
        <v>117</v>
      </c>
      <c r="B2" s="142" t="s">
        <v>118</v>
      </c>
      <c r="C2" s="186" t="s">
        <v>127</v>
      </c>
    </row>
    <row r="3" spans="1:3" x14ac:dyDescent="0.2">
      <c r="A3" s="141">
        <v>1</v>
      </c>
      <c r="B3" s="57" t="s">
        <v>125</v>
      </c>
      <c r="C3" s="186" t="s">
        <v>126</v>
      </c>
    </row>
    <row r="4" spans="1:3" x14ac:dyDescent="0.2">
      <c r="A4" s="140">
        <v>2</v>
      </c>
      <c r="B4" s="139"/>
      <c r="C4" s="139"/>
    </row>
    <row r="6" spans="1:3" ht="30.75" customHeight="1" x14ac:dyDescent="0.2">
      <c r="A6" s="138" t="s">
        <v>91</v>
      </c>
      <c r="B6" s="191" t="s">
        <v>90</v>
      </c>
      <c r="C6" s="191"/>
    </row>
  </sheetData>
  <mergeCells count="1">
    <mergeCell ref="B6:C6"/>
  </mergeCells>
  <hyperlinks>
    <hyperlink ref="C3" r:id="rId1" xr:uid="{AA2EF642-84A7-084A-B99A-E37DFCF92DC5}"/>
    <hyperlink ref="C2" r:id="rId2" xr:uid="{1F85A2DE-386B-0F40-9BDA-AED1850ECCF8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578BE-4BA0-469F-B5A7-AE8A18D597BC}">
  <sheetPr codeName="Sheet9"/>
  <dimension ref="A1:M23"/>
  <sheetViews>
    <sheetView tabSelected="1" workbookViewId="0">
      <selection activeCell="F16" sqref="F16"/>
    </sheetView>
  </sheetViews>
  <sheetFormatPr baseColWidth="10" defaultColWidth="9.1640625" defaultRowHeight="15" x14ac:dyDescent="0.2"/>
  <cols>
    <col min="1" max="1" width="14.1640625" customWidth="1"/>
    <col min="2" max="7" width="11.5" customWidth="1"/>
    <col min="8" max="8" width="9.33203125" customWidth="1"/>
    <col min="9" max="9" width="22.1640625" style="21" customWidth="1"/>
    <col min="10" max="10" width="12" customWidth="1"/>
    <col min="11" max="11" width="5.5" customWidth="1"/>
  </cols>
  <sheetData>
    <row r="1" spans="1:13" ht="16" x14ac:dyDescent="0.2">
      <c r="A1" s="55" t="s">
        <v>34</v>
      </c>
      <c r="B1" s="55" t="s">
        <v>45</v>
      </c>
      <c r="C1" s="55" t="s">
        <v>44</v>
      </c>
      <c r="D1" s="55" t="s">
        <v>54</v>
      </c>
      <c r="E1" s="56" t="s">
        <v>57</v>
      </c>
      <c r="F1" s="55" t="s">
        <v>33</v>
      </c>
      <c r="G1" s="55" t="s">
        <v>32</v>
      </c>
      <c r="H1" s="55"/>
      <c r="I1" s="67" t="s">
        <v>61</v>
      </c>
    </row>
    <row r="2" spans="1:13" x14ac:dyDescent="0.2">
      <c r="A2" s="57">
        <v>1</v>
      </c>
      <c r="B2" s="192">
        <v>7.1</v>
      </c>
      <c r="C2" s="192">
        <v>10</v>
      </c>
      <c r="D2" s="192">
        <v>10</v>
      </c>
      <c r="E2" s="192">
        <v>16.149999999999999</v>
      </c>
      <c r="F2" s="72"/>
      <c r="G2" s="73"/>
      <c r="H2" s="74" t="s">
        <v>55</v>
      </c>
      <c r="I2" s="189">
        <f>SUM(B$2:H2)</f>
        <v>43.25</v>
      </c>
      <c r="J2" t="s">
        <v>46</v>
      </c>
      <c r="M2" s="71"/>
    </row>
    <row r="3" spans="1:13" x14ac:dyDescent="0.2">
      <c r="A3" s="57">
        <v>2</v>
      </c>
      <c r="B3" s="192">
        <v>6.96</v>
      </c>
      <c r="C3" s="192">
        <v>11.93</v>
      </c>
      <c r="D3" s="192">
        <v>8.76</v>
      </c>
      <c r="E3" s="192">
        <v>17</v>
      </c>
      <c r="F3" s="72"/>
      <c r="G3" s="73"/>
      <c r="H3" s="74" t="s">
        <v>55</v>
      </c>
      <c r="I3" s="189">
        <f>SUM(B$2:H3)</f>
        <v>87.9</v>
      </c>
      <c r="J3" t="s">
        <v>47</v>
      </c>
      <c r="M3" s="71"/>
    </row>
    <row r="4" spans="1:13" x14ac:dyDescent="0.2">
      <c r="A4" s="57">
        <v>3</v>
      </c>
      <c r="B4" s="192">
        <v>7.1</v>
      </c>
      <c r="C4" s="192">
        <v>11.9</v>
      </c>
      <c r="D4" s="192">
        <v>10</v>
      </c>
      <c r="E4" s="192">
        <v>17.850000000000001</v>
      </c>
      <c r="F4" s="72"/>
      <c r="G4" s="73"/>
      <c r="H4" s="74" t="s">
        <v>55</v>
      </c>
      <c r="I4" s="189">
        <f>SUM(B$2:H4)</f>
        <v>134.75</v>
      </c>
      <c r="J4" t="s">
        <v>51</v>
      </c>
      <c r="M4" s="71"/>
    </row>
    <row r="5" spans="1:13" x14ac:dyDescent="0.2">
      <c r="A5" s="57">
        <v>4</v>
      </c>
      <c r="B5" s="192">
        <v>7.1</v>
      </c>
      <c r="C5" s="193"/>
      <c r="D5" s="192">
        <v>8.48</v>
      </c>
      <c r="E5" s="192">
        <v>17</v>
      </c>
      <c r="F5" s="75">
        <v>41.26</v>
      </c>
      <c r="G5" s="73"/>
      <c r="H5" s="74" t="s">
        <v>55</v>
      </c>
      <c r="I5" s="189">
        <f>SUM(B$2:H5)</f>
        <v>208.58999999999997</v>
      </c>
      <c r="J5" t="s">
        <v>113</v>
      </c>
      <c r="M5" s="25" t="s">
        <v>112</v>
      </c>
    </row>
    <row r="6" spans="1:13" x14ac:dyDescent="0.2">
      <c r="A6" s="57">
        <v>5</v>
      </c>
      <c r="B6" s="192">
        <v>5.15</v>
      </c>
      <c r="C6" s="192">
        <v>11.86</v>
      </c>
      <c r="D6" s="192">
        <v>10</v>
      </c>
      <c r="E6" s="192">
        <v>16.86</v>
      </c>
      <c r="F6" s="72"/>
      <c r="G6" s="73"/>
      <c r="H6" s="74" t="s">
        <v>55</v>
      </c>
      <c r="I6" s="189">
        <f>SUM(B$2:H6)</f>
        <v>252.45999999999998</v>
      </c>
      <c r="J6" t="s">
        <v>49</v>
      </c>
    </row>
    <row r="7" spans="1:13" x14ac:dyDescent="0.2">
      <c r="A7" s="57">
        <v>6</v>
      </c>
      <c r="B7" s="192">
        <v>7.1</v>
      </c>
      <c r="C7" s="192">
        <v>11.62</v>
      </c>
      <c r="D7" s="192">
        <v>10</v>
      </c>
      <c r="E7" s="192">
        <v>17.2</v>
      </c>
      <c r="F7" s="72"/>
      <c r="G7" s="73"/>
      <c r="H7" s="74" t="s">
        <v>55</v>
      </c>
      <c r="I7" s="189">
        <f>SUM(B$2:H7)</f>
        <v>298.38</v>
      </c>
      <c r="J7" t="s">
        <v>48</v>
      </c>
    </row>
    <row r="8" spans="1:13" x14ac:dyDescent="0.2">
      <c r="A8" s="57">
        <v>7</v>
      </c>
      <c r="B8" s="192">
        <v>6.25</v>
      </c>
      <c r="C8" s="192">
        <v>12</v>
      </c>
      <c r="D8" s="192">
        <v>9.86</v>
      </c>
      <c r="E8" s="192">
        <v>10.32</v>
      </c>
      <c r="F8" s="72"/>
      <c r="G8" s="73"/>
      <c r="H8" s="74" t="s">
        <v>55</v>
      </c>
      <c r="I8" s="189">
        <f>SUM(B$2:H8)</f>
        <v>336.81</v>
      </c>
      <c r="J8" t="s">
        <v>50</v>
      </c>
    </row>
    <row r="9" spans="1:13" x14ac:dyDescent="0.2">
      <c r="A9" s="57">
        <v>8</v>
      </c>
      <c r="B9" s="192">
        <v>7.1</v>
      </c>
      <c r="C9" s="194"/>
      <c r="D9" s="195"/>
      <c r="E9" s="192">
        <v>17.2</v>
      </c>
      <c r="F9" s="75">
        <v>81.52</v>
      </c>
      <c r="G9" s="73"/>
      <c r="H9" s="74" t="s">
        <v>55</v>
      </c>
      <c r="I9" s="189">
        <f>SUM(B$2:H9)</f>
        <v>442.63</v>
      </c>
      <c r="J9" t="s">
        <v>114</v>
      </c>
      <c r="M9" s="25" t="s">
        <v>112</v>
      </c>
    </row>
    <row r="10" spans="1:13" x14ac:dyDescent="0.2">
      <c r="A10" s="57">
        <v>9</v>
      </c>
      <c r="B10" s="192">
        <v>6.77</v>
      </c>
      <c r="C10" s="192">
        <v>11.33</v>
      </c>
      <c r="D10" s="192">
        <v>10</v>
      </c>
      <c r="E10" s="192">
        <v>0</v>
      </c>
      <c r="F10" s="72"/>
      <c r="G10" s="73"/>
      <c r="H10" s="74" t="s">
        <v>56</v>
      </c>
      <c r="I10" s="189">
        <f>SUM(B$2:H10)</f>
        <v>470.72999999999996</v>
      </c>
      <c r="J10" t="s">
        <v>87</v>
      </c>
    </row>
    <row r="11" spans="1:13" x14ac:dyDescent="0.2">
      <c r="A11" s="57">
        <v>10</v>
      </c>
      <c r="B11" s="192">
        <v>6.84</v>
      </c>
      <c r="C11" s="192">
        <v>12</v>
      </c>
      <c r="D11" s="192">
        <v>10</v>
      </c>
      <c r="E11" s="192">
        <v>17.2</v>
      </c>
      <c r="F11" s="72"/>
      <c r="G11" s="73"/>
      <c r="H11" s="74" t="s">
        <v>55</v>
      </c>
      <c r="I11" s="189">
        <f>SUM(B$2:H11)</f>
        <v>516.77</v>
      </c>
      <c r="J11" t="s">
        <v>86</v>
      </c>
    </row>
    <row r="12" spans="1:13" x14ac:dyDescent="0.2">
      <c r="A12" s="57">
        <v>11</v>
      </c>
      <c r="B12" s="192">
        <v>7.2</v>
      </c>
      <c r="C12" s="192">
        <v>10</v>
      </c>
      <c r="D12" s="192">
        <v>10</v>
      </c>
      <c r="E12" s="192">
        <v>17.2</v>
      </c>
      <c r="F12" s="72"/>
      <c r="G12" s="73"/>
      <c r="H12" s="74" t="s">
        <v>55</v>
      </c>
      <c r="I12" s="189">
        <f>SUM(B$2:H12)</f>
        <v>561.17000000000007</v>
      </c>
      <c r="J12" t="s">
        <v>85</v>
      </c>
    </row>
    <row r="13" spans="1:13" x14ac:dyDescent="0.2">
      <c r="A13" s="57">
        <v>12</v>
      </c>
      <c r="B13" s="192">
        <v>7.2</v>
      </c>
      <c r="C13" s="192">
        <v>12</v>
      </c>
      <c r="D13" s="192">
        <v>10</v>
      </c>
      <c r="E13" s="192">
        <v>17.2</v>
      </c>
      <c r="F13" s="72"/>
      <c r="G13" s="73"/>
      <c r="H13" s="74" t="s">
        <v>55</v>
      </c>
      <c r="I13" s="189">
        <f>SUM(B$2:H13)</f>
        <v>607.57000000000016</v>
      </c>
      <c r="J13" t="s">
        <v>52</v>
      </c>
    </row>
    <row r="14" spans="1:13" x14ac:dyDescent="0.2">
      <c r="A14" s="57">
        <v>13</v>
      </c>
      <c r="B14" s="192">
        <v>7.2</v>
      </c>
      <c r="C14" s="192">
        <v>12</v>
      </c>
      <c r="D14" s="192">
        <v>10</v>
      </c>
      <c r="E14" s="192">
        <v>17.2</v>
      </c>
      <c r="F14" s="72"/>
      <c r="G14" s="73"/>
      <c r="H14" s="74" t="s">
        <v>55</v>
      </c>
      <c r="I14" s="189">
        <f>SUM(B$2:H14)</f>
        <v>653.97000000000025</v>
      </c>
      <c r="J14" t="s">
        <v>53</v>
      </c>
    </row>
    <row r="15" spans="1:13" x14ac:dyDescent="0.2">
      <c r="A15" s="57">
        <v>14</v>
      </c>
      <c r="B15" s="192">
        <v>7.2</v>
      </c>
      <c r="C15" s="196"/>
      <c r="D15" s="192">
        <v>10</v>
      </c>
      <c r="E15" s="192">
        <v>17.2</v>
      </c>
      <c r="F15" s="75">
        <v>125</v>
      </c>
      <c r="G15" s="73"/>
      <c r="H15" s="74" t="s">
        <v>55</v>
      </c>
      <c r="I15" s="189">
        <f>SUM(B$2:H15)</f>
        <v>813.37000000000035</v>
      </c>
      <c r="J15" t="s">
        <v>88</v>
      </c>
      <c r="M15" s="54" t="s">
        <v>115</v>
      </c>
    </row>
    <row r="16" spans="1:13" s="25" customFormat="1" x14ac:dyDescent="0.2">
      <c r="A16" s="173">
        <v>15</v>
      </c>
      <c r="B16" s="76"/>
      <c r="C16" s="76"/>
      <c r="D16" s="76"/>
      <c r="E16" s="76"/>
      <c r="F16" s="76"/>
      <c r="G16" s="77">
        <v>90</v>
      </c>
      <c r="H16" s="74" t="s">
        <v>55</v>
      </c>
      <c r="I16" s="189">
        <f>SUM(B$2:H16)</f>
        <v>903.37000000000035</v>
      </c>
      <c r="J16" s="177" t="s">
        <v>111</v>
      </c>
      <c r="K16" s="175"/>
      <c r="L16" s="175"/>
      <c r="M16" s="174" t="s">
        <v>116</v>
      </c>
    </row>
    <row r="17" spans="1:12" x14ac:dyDescent="0.2">
      <c r="A17" s="58"/>
      <c r="B17" s="53"/>
      <c r="C17" s="53"/>
      <c r="D17" s="53"/>
      <c r="E17" s="53"/>
      <c r="F17" s="53"/>
      <c r="G17" s="53"/>
      <c r="H17" s="53"/>
      <c r="I17" s="53"/>
      <c r="J17" s="1"/>
      <c r="K17" s="1"/>
      <c r="L17" s="1"/>
    </row>
    <row r="18" spans="1:12" x14ac:dyDescent="0.2">
      <c r="A18" s="59" t="s">
        <v>31</v>
      </c>
      <c r="B18" s="188">
        <f>SUM(B2:B16)</f>
        <v>96.27000000000001</v>
      </c>
      <c r="C18" s="188">
        <f t="shared" ref="C18:G18" si="0">SUM(C2:C16)</f>
        <v>126.64</v>
      </c>
      <c r="D18" s="188">
        <f t="shared" si="0"/>
        <v>127.1</v>
      </c>
      <c r="E18" s="188">
        <f t="shared" si="0"/>
        <v>215.57999999999993</v>
      </c>
      <c r="F18" s="188">
        <f t="shared" si="0"/>
        <v>247.78</v>
      </c>
      <c r="G18" s="188">
        <f t="shared" si="0"/>
        <v>90</v>
      </c>
      <c r="H18" s="59"/>
      <c r="I18"/>
      <c r="J18" s="1"/>
      <c r="K18" s="1"/>
      <c r="L18" s="1"/>
    </row>
    <row r="19" spans="1:12" x14ac:dyDescent="0.2">
      <c r="A19" s="59" t="s">
        <v>30</v>
      </c>
      <c r="B19" s="188">
        <f>SUM(B18:G18)</f>
        <v>903.36999999999989</v>
      </c>
      <c r="C19" s="59"/>
      <c r="D19" s="59"/>
      <c r="E19" s="59"/>
      <c r="F19" s="59"/>
      <c r="G19" s="65"/>
      <c r="H19" s="59" t="s">
        <v>93</v>
      </c>
      <c r="I19"/>
      <c r="J19" s="1"/>
      <c r="K19" s="1"/>
      <c r="L19" s="1"/>
    </row>
    <row r="20" spans="1:12" x14ac:dyDescent="0.2">
      <c r="A20" s="176" t="s">
        <v>118</v>
      </c>
      <c r="B20" s="59"/>
      <c r="C20" s="59"/>
      <c r="D20" s="59"/>
      <c r="E20" s="59"/>
      <c r="F20" s="59"/>
      <c r="G20" s="65"/>
      <c r="H20" s="59" t="s">
        <v>93</v>
      </c>
      <c r="I20" s="53"/>
    </row>
    <row r="21" spans="1:12" x14ac:dyDescent="0.2">
      <c r="A21" s="60"/>
      <c r="B21" s="24">
        <v>1</v>
      </c>
      <c r="C21" s="13" t="s">
        <v>43</v>
      </c>
      <c r="D21" s="13" t="s">
        <v>41</v>
      </c>
      <c r="E21" s="13" t="s">
        <v>42</v>
      </c>
      <c r="F21" s="13" t="s">
        <v>29</v>
      </c>
    </row>
    <row r="22" spans="1:12" x14ac:dyDescent="0.2">
      <c r="A22" s="60"/>
      <c r="B22">
        <v>1</v>
      </c>
      <c r="C22" s="13">
        <v>0.9</v>
      </c>
      <c r="D22" s="13">
        <v>0.8</v>
      </c>
      <c r="E22" s="13">
        <v>0.7</v>
      </c>
      <c r="F22" s="13">
        <v>0.6</v>
      </c>
      <c r="I22"/>
    </row>
    <row r="23" spans="1:12" x14ac:dyDescent="0.2">
      <c r="A23" s="23"/>
      <c r="B23" s="66">
        <f>($B$19*B22)</f>
        <v>903.36999999999989</v>
      </c>
      <c r="C23" s="66">
        <f t="shared" ref="C23:F23" si="1">($B$19*C22)</f>
        <v>813.0329999999999</v>
      </c>
      <c r="D23" s="66">
        <f t="shared" si="1"/>
        <v>722.69599999999991</v>
      </c>
      <c r="E23" s="66">
        <f t="shared" si="1"/>
        <v>632.35899999999992</v>
      </c>
      <c r="F23" s="66">
        <f t="shared" si="1"/>
        <v>542.02199999999993</v>
      </c>
      <c r="I23"/>
    </row>
  </sheetData>
  <sheetProtection formatCells="0" formatColumns="0" formatRows="0" sort="0" autoFilter="0"/>
  <autoFilter ref="A1:A16" xr:uid="{FB4E941D-B935-4A10-8EE7-5CDC370A733B}"/>
  <conditionalFormatting sqref="M16">
    <cfRule type="expression" dxfId="5" priority="4">
      <formula>I16=1000</formula>
    </cfRule>
  </conditionalFormatting>
  <conditionalFormatting sqref="L2">
    <cfRule type="cellIs" dxfId="4" priority="3" operator="equal">
      <formula>0</formula>
    </cfRule>
  </conditionalFormatting>
  <conditionalFormatting sqref="I18:I19">
    <cfRule type="cellIs" dxfId="3" priority="1" operator="equal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5FFE9-6B87-48FA-98C5-048826D44734}">
  <sheetPr codeName="Sheet5"/>
  <dimension ref="A1:K53"/>
  <sheetViews>
    <sheetView topLeftCell="F19" workbookViewId="0">
      <selection activeCell="K43" sqref="K43"/>
    </sheetView>
  </sheetViews>
  <sheetFormatPr baseColWidth="10" defaultColWidth="8.83203125" defaultRowHeight="15" x14ac:dyDescent="0.2"/>
  <cols>
    <col min="2" max="2" width="15.33203125" bestFit="1" customWidth="1"/>
    <col min="3" max="3" width="11.5" style="21" customWidth="1"/>
    <col min="4" max="5" width="19.6640625" style="96" customWidth="1"/>
    <col min="6" max="6" width="18.1640625" customWidth="1"/>
    <col min="7" max="7" width="19.5" customWidth="1"/>
    <col min="8" max="8" width="15.5" bestFit="1" customWidth="1"/>
    <col min="9" max="9" width="12.5" customWidth="1"/>
    <col min="10" max="10" width="13.5" style="21" customWidth="1"/>
    <col min="11" max="11" width="12.5" style="21" customWidth="1"/>
  </cols>
  <sheetData>
    <row r="1" spans="1:11" x14ac:dyDescent="0.2">
      <c r="A1" t="s">
        <v>80</v>
      </c>
    </row>
    <row r="2" spans="1:11" x14ac:dyDescent="0.2">
      <c r="A2" s="112"/>
    </row>
    <row r="3" spans="1:11" x14ac:dyDescent="0.2">
      <c r="A3" s="1">
        <v>1978</v>
      </c>
      <c r="B3" s="128">
        <v>5000</v>
      </c>
      <c r="C3" s="128">
        <v>10000</v>
      </c>
      <c r="D3" s="113">
        <v>500000000</v>
      </c>
      <c r="E3" s="113">
        <v>50000000</v>
      </c>
      <c r="F3" s="1">
        <v>100000</v>
      </c>
      <c r="G3" s="1">
        <v>0.99</v>
      </c>
    </row>
    <row r="4" spans="1:11" ht="30.75" customHeight="1" x14ac:dyDescent="0.2">
      <c r="A4" s="118" t="s">
        <v>25</v>
      </c>
      <c r="B4" s="119" t="s">
        <v>63</v>
      </c>
      <c r="C4" s="119" t="s">
        <v>64</v>
      </c>
      <c r="D4" s="120" t="s">
        <v>65</v>
      </c>
      <c r="E4" s="120" t="s">
        <v>66</v>
      </c>
      <c r="F4" s="119" t="s">
        <v>67</v>
      </c>
      <c r="G4" s="136" t="s">
        <v>68</v>
      </c>
      <c r="H4" s="119" t="s">
        <v>70</v>
      </c>
      <c r="I4" s="148" t="s">
        <v>69</v>
      </c>
      <c r="J4" s="121" t="s">
        <v>84</v>
      </c>
      <c r="K4" s="119" t="s">
        <v>83</v>
      </c>
    </row>
    <row r="5" spans="1:11" x14ac:dyDescent="0.2">
      <c r="A5" s="114">
        <v>1979</v>
      </c>
      <c r="B5" s="122"/>
      <c r="C5" s="81">
        <v>2</v>
      </c>
      <c r="D5" s="115">
        <v>7025</v>
      </c>
      <c r="E5" s="115">
        <v>-903</v>
      </c>
      <c r="F5" s="115">
        <v>2024</v>
      </c>
      <c r="G5" s="187">
        <f>F5/D5</f>
        <v>0.28811387900355873</v>
      </c>
      <c r="H5" s="82"/>
      <c r="I5" s="149">
        <f>D5/C5</f>
        <v>3512.5</v>
      </c>
      <c r="J5" s="81"/>
      <c r="K5" s="81"/>
    </row>
    <row r="6" spans="1:11" x14ac:dyDescent="0.2">
      <c r="A6" s="114">
        <v>1980</v>
      </c>
      <c r="B6" s="122"/>
      <c r="C6" s="81">
        <v>4</v>
      </c>
      <c r="D6" s="115">
        <v>22318</v>
      </c>
      <c r="E6" s="115">
        <v>856</v>
      </c>
      <c r="F6" s="115">
        <v>6855</v>
      </c>
      <c r="G6" s="187">
        <f t="shared" ref="G6:G48" si="0">F6/D6</f>
        <v>0.30715117842100548</v>
      </c>
      <c r="H6" s="82"/>
      <c r="I6" s="149">
        <f t="shared" ref="I6:I48" si="1">D6/C6</f>
        <v>5579.5</v>
      </c>
      <c r="J6" s="83"/>
      <c r="K6" s="150">
        <f>(C6-C5)/C5</f>
        <v>1</v>
      </c>
    </row>
    <row r="7" spans="1:11" x14ac:dyDescent="0.2">
      <c r="A7" s="116">
        <v>1981</v>
      </c>
      <c r="B7" s="123"/>
      <c r="C7" s="84">
        <v>8</v>
      </c>
      <c r="D7" s="117">
        <v>51541</v>
      </c>
      <c r="E7" s="117">
        <v>1963</v>
      </c>
      <c r="F7" s="117">
        <v>14735</v>
      </c>
      <c r="G7" s="187">
        <f t="shared" si="0"/>
        <v>0.28588890397935623</v>
      </c>
      <c r="H7" s="85"/>
      <c r="I7" s="149">
        <f t="shared" si="1"/>
        <v>6442.625</v>
      </c>
      <c r="J7" s="84"/>
      <c r="K7" s="150">
        <f t="shared" ref="K7:K48" si="2">(C7-C6)/C6</f>
        <v>1</v>
      </c>
    </row>
    <row r="8" spans="1:11" x14ac:dyDescent="0.2">
      <c r="A8" s="116">
        <v>1982</v>
      </c>
      <c r="B8" s="123"/>
      <c r="C8" s="84">
        <v>10</v>
      </c>
      <c r="D8" s="117">
        <v>117645</v>
      </c>
      <c r="E8" s="117">
        <v>9870</v>
      </c>
      <c r="F8" s="117">
        <v>33358</v>
      </c>
      <c r="G8" s="187">
        <f t="shared" si="0"/>
        <v>0.28354796208933658</v>
      </c>
      <c r="H8" s="85"/>
      <c r="I8" s="149">
        <f t="shared" si="1"/>
        <v>11764.5</v>
      </c>
      <c r="J8" s="84"/>
      <c r="K8" s="150">
        <f t="shared" si="2"/>
        <v>0.25</v>
      </c>
    </row>
    <row r="9" spans="1:11" x14ac:dyDescent="0.2">
      <c r="A9" s="116">
        <v>1983</v>
      </c>
      <c r="B9" s="123">
        <v>2.4</v>
      </c>
      <c r="C9" s="84">
        <v>19</v>
      </c>
      <c r="D9" s="117">
        <v>256184</v>
      </c>
      <c r="E9" s="117">
        <v>18986</v>
      </c>
      <c r="F9" s="117">
        <v>70014</v>
      </c>
      <c r="G9" s="187">
        <f t="shared" si="0"/>
        <v>0.27329575617524904</v>
      </c>
      <c r="H9" s="149">
        <f>D9/(B9*1000)</f>
        <v>106.74333333333334</v>
      </c>
      <c r="I9" s="149">
        <f t="shared" si="1"/>
        <v>13483.368421052632</v>
      </c>
      <c r="J9" s="84"/>
      <c r="K9" s="150">
        <f t="shared" si="2"/>
        <v>0.9</v>
      </c>
    </row>
    <row r="10" spans="1:11" x14ac:dyDescent="0.2">
      <c r="A10" s="116">
        <v>1984</v>
      </c>
      <c r="B10" s="123">
        <v>4</v>
      </c>
      <c r="C10" s="84">
        <v>31</v>
      </c>
      <c r="D10" s="117">
        <v>432779</v>
      </c>
      <c r="E10" s="117">
        <v>26252</v>
      </c>
      <c r="F10" s="117">
        <v>114319</v>
      </c>
      <c r="G10" s="187">
        <f t="shared" si="0"/>
        <v>0.26415098699336148</v>
      </c>
      <c r="H10" s="149">
        <f t="shared" ref="H10:H48" si="3">D10/(B10*1000)</f>
        <v>108.19475</v>
      </c>
      <c r="I10" s="149">
        <f t="shared" si="1"/>
        <v>13960.612903225807</v>
      </c>
      <c r="J10" s="150">
        <f>(B10-B9)/B9</f>
        <v>0.66666666666666674</v>
      </c>
      <c r="K10" s="150">
        <f t="shared" si="2"/>
        <v>0.63157894736842102</v>
      </c>
    </row>
    <row r="11" spans="1:11" x14ac:dyDescent="0.2">
      <c r="A11" s="116">
        <v>1985</v>
      </c>
      <c r="B11" s="123">
        <v>5.4</v>
      </c>
      <c r="C11" s="84">
        <v>50</v>
      </c>
      <c r="D11" s="117">
        <v>700729</v>
      </c>
      <c r="E11" s="117">
        <v>11619</v>
      </c>
      <c r="F11" s="117">
        <v>181457</v>
      </c>
      <c r="G11" s="187">
        <f t="shared" si="0"/>
        <v>0.25895460299202688</v>
      </c>
      <c r="H11" s="149">
        <f t="shared" si="3"/>
        <v>129.76462962962964</v>
      </c>
      <c r="I11" s="149">
        <f t="shared" si="1"/>
        <v>14014.58</v>
      </c>
      <c r="J11" s="150">
        <f t="shared" ref="J11:J48" si="4">(B11-B10)/B10</f>
        <v>0.35000000000000009</v>
      </c>
      <c r="K11" s="150">
        <f t="shared" si="2"/>
        <v>0.61290322580645162</v>
      </c>
    </row>
    <row r="12" spans="1:11" x14ac:dyDescent="0.2">
      <c r="A12" s="100">
        <v>1986</v>
      </c>
      <c r="B12" s="124">
        <v>6.6</v>
      </c>
      <c r="C12" s="21">
        <v>60</v>
      </c>
      <c r="D12" s="93">
        <v>1011462</v>
      </c>
      <c r="E12" s="93">
        <v>47073</v>
      </c>
      <c r="F12" s="93">
        <v>278160</v>
      </c>
      <c r="G12" s="187">
        <f t="shared" si="0"/>
        <v>0.27500785990971482</v>
      </c>
      <c r="H12" s="149">
        <f t="shared" si="3"/>
        <v>153.25181818181818</v>
      </c>
      <c r="I12" s="149">
        <f t="shared" si="1"/>
        <v>16857.7</v>
      </c>
      <c r="J12" s="150">
        <f t="shared" si="4"/>
        <v>0.22222222222222207</v>
      </c>
      <c r="K12" s="150">
        <f t="shared" si="2"/>
        <v>0.2</v>
      </c>
    </row>
    <row r="13" spans="1:11" x14ac:dyDescent="0.2">
      <c r="A13" s="100">
        <v>1987</v>
      </c>
      <c r="B13" s="124">
        <v>9.1</v>
      </c>
      <c r="C13" s="21">
        <v>75</v>
      </c>
      <c r="D13" s="93">
        <v>1453657</v>
      </c>
      <c r="E13" s="93">
        <v>95586</v>
      </c>
      <c r="F13" s="93">
        <v>403739</v>
      </c>
      <c r="G13" s="187">
        <f t="shared" si="0"/>
        <v>0.27774020969183238</v>
      </c>
      <c r="H13" s="149">
        <f t="shared" si="3"/>
        <v>159.74252747252748</v>
      </c>
      <c r="I13" s="149">
        <f t="shared" si="1"/>
        <v>19382.093333333334</v>
      </c>
      <c r="J13" s="150">
        <f t="shared" si="4"/>
        <v>0.37878787878787878</v>
      </c>
      <c r="K13" s="150">
        <f t="shared" si="2"/>
        <v>0.25</v>
      </c>
    </row>
    <row r="14" spans="1:11" x14ac:dyDescent="0.2">
      <c r="A14" s="100">
        <v>1988</v>
      </c>
      <c r="B14" s="124">
        <v>13</v>
      </c>
      <c r="C14" s="21">
        <v>96</v>
      </c>
      <c r="D14" s="93">
        <v>1999514</v>
      </c>
      <c r="E14" s="93">
        <v>125833</v>
      </c>
      <c r="F14" s="93">
        <v>539652</v>
      </c>
      <c r="G14" s="187">
        <f t="shared" si="0"/>
        <v>0.26989158365482813</v>
      </c>
      <c r="H14" s="149">
        <f t="shared" si="3"/>
        <v>153.80876923076923</v>
      </c>
      <c r="I14" s="149">
        <f t="shared" si="1"/>
        <v>20828.270833333332</v>
      </c>
      <c r="J14" s="150">
        <f t="shared" si="4"/>
        <v>0.4285714285714286</v>
      </c>
      <c r="K14" s="150">
        <f t="shared" si="2"/>
        <v>0.28000000000000003</v>
      </c>
    </row>
    <row r="15" spans="1:11" x14ac:dyDescent="0.2">
      <c r="A15" s="100">
        <v>1989</v>
      </c>
      <c r="B15" s="124">
        <v>17.5</v>
      </c>
      <c r="C15" s="21">
        <v>118</v>
      </c>
      <c r="D15" s="93">
        <v>2758535</v>
      </c>
      <c r="E15" s="93">
        <v>182015</v>
      </c>
      <c r="F15" s="93">
        <v>766758</v>
      </c>
      <c r="G15" s="187">
        <f t="shared" si="0"/>
        <v>0.27795840908308217</v>
      </c>
      <c r="H15" s="149">
        <f t="shared" si="3"/>
        <v>157.63057142857141</v>
      </c>
      <c r="I15" s="149">
        <f t="shared" si="1"/>
        <v>23377.415254237287</v>
      </c>
      <c r="J15" s="150">
        <f t="shared" si="4"/>
        <v>0.34615384615384615</v>
      </c>
      <c r="K15" s="150">
        <f t="shared" si="2"/>
        <v>0.22916666666666666</v>
      </c>
    </row>
    <row r="16" spans="1:11" x14ac:dyDescent="0.2">
      <c r="A16" s="100">
        <v>1990</v>
      </c>
      <c r="B16" s="124">
        <v>21.5</v>
      </c>
      <c r="C16" s="21">
        <v>145</v>
      </c>
      <c r="D16" s="93">
        <v>3815356</v>
      </c>
      <c r="E16" s="93">
        <v>259828</v>
      </c>
      <c r="F16" s="94">
        <v>1064271</v>
      </c>
      <c r="G16" s="187">
        <f t="shared" si="0"/>
        <v>0.27894408804840232</v>
      </c>
      <c r="H16" s="149">
        <f t="shared" si="3"/>
        <v>177.45841860465117</v>
      </c>
      <c r="I16" s="149">
        <f t="shared" si="1"/>
        <v>26312.799999999999</v>
      </c>
      <c r="J16" s="150">
        <f t="shared" si="4"/>
        <v>0.22857142857142856</v>
      </c>
      <c r="K16" s="150">
        <f t="shared" si="2"/>
        <v>0.2288135593220339</v>
      </c>
    </row>
    <row r="17" spans="1:11" x14ac:dyDescent="0.2">
      <c r="A17" s="100">
        <v>1991</v>
      </c>
      <c r="B17" s="124">
        <v>28</v>
      </c>
      <c r="C17" s="21">
        <v>174</v>
      </c>
      <c r="D17" s="93">
        <v>5136674</v>
      </c>
      <c r="E17" s="93">
        <v>396120</v>
      </c>
      <c r="F17" s="94">
        <v>1444337</v>
      </c>
      <c r="G17" s="187">
        <f t="shared" si="0"/>
        <v>0.28118136366060997</v>
      </c>
      <c r="H17" s="149">
        <f t="shared" si="3"/>
        <v>183.45264285714285</v>
      </c>
      <c r="I17" s="149">
        <f t="shared" si="1"/>
        <v>29521.114942528737</v>
      </c>
      <c r="J17" s="150">
        <f t="shared" si="4"/>
        <v>0.30232558139534882</v>
      </c>
      <c r="K17" s="150">
        <f t="shared" si="2"/>
        <v>0.2</v>
      </c>
    </row>
    <row r="18" spans="1:11" x14ac:dyDescent="0.2">
      <c r="A18" s="100">
        <v>1992</v>
      </c>
      <c r="B18" s="124">
        <v>38.9</v>
      </c>
      <c r="C18" s="21">
        <v>214</v>
      </c>
      <c r="D18" s="93">
        <v>7148436</v>
      </c>
      <c r="E18" s="93">
        <v>575973</v>
      </c>
      <c r="F18" s="94">
        <v>1969068</v>
      </c>
      <c r="G18" s="187">
        <f t="shared" si="0"/>
        <v>0.27545437911173859</v>
      </c>
      <c r="H18" s="149">
        <f t="shared" si="3"/>
        <v>183.76442159383032</v>
      </c>
      <c r="I18" s="149">
        <f t="shared" si="1"/>
        <v>33403.906542056073</v>
      </c>
      <c r="J18" s="150">
        <f t="shared" si="4"/>
        <v>0.38928571428571423</v>
      </c>
      <c r="K18" s="150">
        <f t="shared" si="2"/>
        <v>0.22988505747126436</v>
      </c>
    </row>
    <row r="19" spans="1:11" x14ac:dyDescent="0.2">
      <c r="A19" s="100">
        <v>1993</v>
      </c>
      <c r="B19" s="124">
        <v>50.6</v>
      </c>
      <c r="C19" s="21">
        <v>264</v>
      </c>
      <c r="D19" s="93">
        <v>9238763</v>
      </c>
      <c r="E19" s="93">
        <v>736871</v>
      </c>
      <c r="F19" s="94">
        <v>2553379</v>
      </c>
      <c r="G19" s="187">
        <f t="shared" si="0"/>
        <v>0.27637671839833972</v>
      </c>
      <c r="H19" s="149">
        <f t="shared" si="3"/>
        <v>182.58424901185771</v>
      </c>
      <c r="I19" s="149">
        <f t="shared" si="1"/>
        <v>34995.314393939392</v>
      </c>
      <c r="J19" s="150">
        <f t="shared" si="4"/>
        <v>0.30077120822622117</v>
      </c>
      <c r="K19" s="150">
        <f t="shared" si="2"/>
        <v>0.23364485981308411</v>
      </c>
    </row>
    <row r="20" spans="1:11" x14ac:dyDescent="0.2">
      <c r="A20" s="100">
        <v>1994</v>
      </c>
      <c r="B20" s="124">
        <v>67.3</v>
      </c>
      <c r="C20" s="21">
        <v>340</v>
      </c>
      <c r="D20" s="93">
        <v>12476697</v>
      </c>
      <c r="E20" s="93">
        <v>979751</v>
      </c>
      <c r="F20" s="94">
        <v>2485493</v>
      </c>
      <c r="G20" s="187">
        <f t="shared" si="0"/>
        <v>0.19921081677306102</v>
      </c>
      <c r="H20" s="149">
        <f t="shared" si="3"/>
        <v>185.38925705794949</v>
      </c>
      <c r="I20" s="149">
        <f t="shared" si="1"/>
        <v>36696.167647058821</v>
      </c>
      <c r="J20" s="150">
        <f t="shared" si="4"/>
        <v>0.33003952569169953</v>
      </c>
      <c r="K20" s="150">
        <f t="shared" si="2"/>
        <v>0.2878787878787879</v>
      </c>
    </row>
    <row r="21" spans="1:11" x14ac:dyDescent="0.2">
      <c r="A21" s="100">
        <v>1995</v>
      </c>
      <c r="B21" s="124">
        <v>80.8</v>
      </c>
      <c r="C21" s="21">
        <v>423</v>
      </c>
      <c r="D21" s="93">
        <v>15470000</v>
      </c>
      <c r="E21" s="93">
        <v>1195000</v>
      </c>
      <c r="F21" s="94">
        <v>4285586</v>
      </c>
      <c r="G21" s="187">
        <f t="shared" si="0"/>
        <v>0.27702559793148029</v>
      </c>
      <c r="H21" s="149">
        <f t="shared" si="3"/>
        <v>191.46039603960395</v>
      </c>
      <c r="I21" s="149">
        <f t="shared" si="1"/>
        <v>36572.104018912527</v>
      </c>
      <c r="J21" s="150">
        <f t="shared" si="4"/>
        <v>0.20059435364041606</v>
      </c>
      <c r="K21" s="150">
        <f t="shared" si="2"/>
        <v>0.24411764705882352</v>
      </c>
    </row>
    <row r="22" spans="1:11" x14ac:dyDescent="0.2">
      <c r="A22" s="100">
        <v>1996</v>
      </c>
      <c r="B22" s="124">
        <v>98.1</v>
      </c>
      <c r="C22" s="21">
        <v>512</v>
      </c>
      <c r="D22" s="93">
        <v>19535000</v>
      </c>
      <c r="E22" s="93">
        <v>1535000</v>
      </c>
      <c r="F22" s="94">
        <v>5434000</v>
      </c>
      <c r="G22" s="187">
        <f t="shared" si="0"/>
        <v>0.27816739186076272</v>
      </c>
      <c r="H22" s="149">
        <f t="shared" si="3"/>
        <v>199.13353720693169</v>
      </c>
      <c r="I22" s="149">
        <f t="shared" si="1"/>
        <v>38154.296875</v>
      </c>
      <c r="J22" s="150">
        <f t="shared" si="4"/>
        <v>0.21410891089108908</v>
      </c>
      <c r="K22" s="150">
        <f t="shared" si="2"/>
        <v>0.21040189125295508</v>
      </c>
    </row>
    <row r="23" spans="1:11" x14ac:dyDescent="0.2">
      <c r="A23" s="100">
        <v>1997</v>
      </c>
      <c r="B23" s="124">
        <v>124.4</v>
      </c>
      <c r="C23" s="21">
        <v>624</v>
      </c>
      <c r="D23" s="93">
        <v>24156000</v>
      </c>
      <c r="E23" s="93">
        <v>1898000</v>
      </c>
      <c r="F23" s="94">
        <v>6781000</v>
      </c>
      <c r="G23" s="187">
        <f t="shared" si="0"/>
        <v>0.28071700612684219</v>
      </c>
      <c r="H23" s="149">
        <f t="shared" si="3"/>
        <v>194.18006430868166</v>
      </c>
      <c r="I23" s="149">
        <f t="shared" si="1"/>
        <v>38711.538461538461</v>
      </c>
      <c r="J23" s="150">
        <f t="shared" si="4"/>
        <v>0.2680937818552499</v>
      </c>
      <c r="K23" s="150">
        <f t="shared" si="2"/>
        <v>0.21875</v>
      </c>
    </row>
    <row r="24" spans="1:11" x14ac:dyDescent="0.2">
      <c r="A24" s="100">
        <v>1998</v>
      </c>
      <c r="B24" s="124">
        <v>156.69999999999999</v>
      </c>
      <c r="C24" s="21">
        <v>761</v>
      </c>
      <c r="D24" s="93">
        <v>30219000</v>
      </c>
      <c r="E24" s="93">
        <v>2654000</v>
      </c>
      <c r="F24" s="94">
        <v>8605000</v>
      </c>
      <c r="G24" s="187">
        <f t="shared" si="0"/>
        <v>0.28475462457394357</v>
      </c>
      <c r="H24" s="149">
        <f t="shared" si="3"/>
        <v>192.84620293554562</v>
      </c>
      <c r="I24" s="149">
        <f t="shared" si="1"/>
        <v>39709.592641261501</v>
      </c>
      <c r="J24" s="150">
        <f t="shared" si="4"/>
        <v>0.25964630225080371</v>
      </c>
      <c r="K24" s="150">
        <f t="shared" si="2"/>
        <v>0.21955128205128205</v>
      </c>
    </row>
    <row r="25" spans="1:11" x14ac:dyDescent="0.2">
      <c r="A25" s="100">
        <v>1999</v>
      </c>
      <c r="B25" s="124">
        <v>201.4</v>
      </c>
      <c r="C25" s="21">
        <v>930</v>
      </c>
      <c r="D25" s="93">
        <v>38434000</v>
      </c>
      <c r="E25" s="93">
        <v>3804000</v>
      </c>
      <c r="F25" s="94">
        <v>11411000</v>
      </c>
      <c r="G25" s="187">
        <f t="shared" si="0"/>
        <v>0.29689857938283809</v>
      </c>
      <c r="H25" s="149">
        <f t="shared" si="3"/>
        <v>190.83416087388281</v>
      </c>
      <c r="I25" s="149">
        <f t="shared" si="1"/>
        <v>41326.881720430109</v>
      </c>
      <c r="J25" s="150">
        <f t="shared" si="4"/>
        <v>0.28525845564773467</v>
      </c>
      <c r="K25" s="150">
        <f t="shared" si="2"/>
        <v>0.22207621550591328</v>
      </c>
    </row>
    <row r="26" spans="1:11" x14ac:dyDescent="0.2">
      <c r="A26" s="100">
        <v>2000</v>
      </c>
      <c r="B26" s="124">
        <v>227.3</v>
      </c>
      <c r="C26" s="21">
        <v>1134</v>
      </c>
      <c r="D26" s="93">
        <v>45738000</v>
      </c>
      <c r="E26" s="93">
        <v>4217000</v>
      </c>
      <c r="F26" s="94">
        <v>13681000</v>
      </c>
      <c r="G26" s="187">
        <f t="shared" si="0"/>
        <v>0.29911670820761732</v>
      </c>
      <c r="H26" s="149">
        <f t="shared" si="3"/>
        <v>201.22305323361198</v>
      </c>
      <c r="I26" s="149">
        <f t="shared" si="1"/>
        <v>40333.333333333336</v>
      </c>
      <c r="J26" s="150">
        <f t="shared" si="4"/>
        <v>0.12859980139026814</v>
      </c>
      <c r="K26" s="150">
        <f t="shared" si="2"/>
        <v>0.21935483870967742</v>
      </c>
    </row>
    <row r="27" spans="1:11" x14ac:dyDescent="0.2">
      <c r="A27" s="100">
        <v>2001</v>
      </c>
      <c r="B27" s="124">
        <v>256.3</v>
      </c>
      <c r="C27" s="21">
        <v>1333</v>
      </c>
      <c r="D27" s="93">
        <v>53553000</v>
      </c>
      <c r="E27" s="93">
        <v>4957000</v>
      </c>
      <c r="F27" s="94">
        <v>16147000</v>
      </c>
      <c r="G27" s="187">
        <f t="shared" si="0"/>
        <v>0.30151438761600657</v>
      </c>
      <c r="H27" s="149">
        <f t="shared" si="3"/>
        <v>208.94654701521654</v>
      </c>
      <c r="I27" s="149">
        <f t="shared" si="1"/>
        <v>40174.793698424604</v>
      </c>
      <c r="J27" s="150">
        <f t="shared" si="4"/>
        <v>0.12758468983721952</v>
      </c>
      <c r="K27" s="150">
        <f t="shared" si="2"/>
        <v>0.17548500881834214</v>
      </c>
    </row>
    <row r="28" spans="1:11" x14ac:dyDescent="0.2">
      <c r="A28" s="100">
        <v>2002</v>
      </c>
      <c r="B28" s="124">
        <v>280.89999999999998</v>
      </c>
      <c r="C28" s="21">
        <v>1532</v>
      </c>
      <c r="D28" s="93">
        <v>58247000</v>
      </c>
      <c r="E28" s="93">
        <v>5872000</v>
      </c>
      <c r="F28" s="94">
        <v>18108000</v>
      </c>
      <c r="G28" s="187">
        <f t="shared" si="0"/>
        <v>0.31088296392947279</v>
      </c>
      <c r="H28" s="149">
        <f t="shared" si="3"/>
        <v>207.35849056603774</v>
      </c>
      <c r="I28" s="149">
        <f t="shared" si="1"/>
        <v>38020.234986945172</v>
      </c>
      <c r="J28" s="150">
        <f t="shared" si="4"/>
        <v>9.598127194693705E-2</v>
      </c>
      <c r="K28" s="150">
        <f t="shared" si="2"/>
        <v>0.14928732183045762</v>
      </c>
    </row>
    <row r="29" spans="1:11" x14ac:dyDescent="0.2">
      <c r="A29" s="100">
        <v>2003</v>
      </c>
      <c r="B29" s="124">
        <v>298.8</v>
      </c>
      <c r="C29" s="21">
        <v>1707</v>
      </c>
      <c r="D29" s="93">
        <v>63660000</v>
      </c>
      <c r="E29" s="93">
        <v>6762000</v>
      </c>
      <c r="F29" s="94">
        <v>20580000</v>
      </c>
      <c r="G29" s="187">
        <f t="shared" si="0"/>
        <v>0.3232799245994345</v>
      </c>
      <c r="H29" s="149">
        <f t="shared" si="3"/>
        <v>213.05220883534136</v>
      </c>
      <c r="I29" s="149">
        <f t="shared" si="1"/>
        <v>37293.49736379613</v>
      </c>
      <c r="J29" s="150">
        <f t="shared" si="4"/>
        <v>6.37237451050197E-2</v>
      </c>
      <c r="K29" s="150">
        <f t="shared" si="2"/>
        <v>0.11422976501305483</v>
      </c>
    </row>
    <row r="30" spans="1:11" x14ac:dyDescent="0.2">
      <c r="A30" s="100">
        <v>2004</v>
      </c>
      <c r="B30" s="124">
        <v>323.149</v>
      </c>
      <c r="C30" s="21">
        <v>1890</v>
      </c>
      <c r="D30" s="93">
        <v>71100000</v>
      </c>
      <c r="E30" s="93">
        <v>7790000</v>
      </c>
      <c r="F30" s="94">
        <v>24430000</v>
      </c>
      <c r="G30" s="187">
        <f t="shared" si="0"/>
        <v>0.34360056258790433</v>
      </c>
      <c r="H30" s="149">
        <f t="shared" si="3"/>
        <v>220.02234263451226</v>
      </c>
      <c r="I30" s="149">
        <f t="shared" si="1"/>
        <v>37619.047619047618</v>
      </c>
      <c r="J30" s="150">
        <f t="shared" si="4"/>
        <v>8.1489290495314559E-2</v>
      </c>
      <c r="K30" s="150">
        <f t="shared" si="2"/>
        <v>0.10720562390158173</v>
      </c>
    </row>
    <row r="31" spans="1:11" x14ac:dyDescent="0.2">
      <c r="A31" s="100">
        <v>2005</v>
      </c>
      <c r="B31" s="124">
        <v>344.8</v>
      </c>
      <c r="C31" s="21">
        <v>2042</v>
      </c>
      <c r="D31" s="93">
        <v>77019000</v>
      </c>
      <c r="E31" s="93">
        <v>8967000</v>
      </c>
      <c r="F31" s="94">
        <v>25938000</v>
      </c>
      <c r="G31" s="187">
        <f t="shared" si="0"/>
        <v>0.33677404276866746</v>
      </c>
      <c r="H31" s="149">
        <f t="shared" si="3"/>
        <v>223.37296983758699</v>
      </c>
      <c r="I31" s="149">
        <f t="shared" si="1"/>
        <v>37717.433888344764</v>
      </c>
      <c r="J31" s="150">
        <f t="shared" si="4"/>
        <v>6.7000052607311206E-2</v>
      </c>
      <c r="K31" s="150">
        <f t="shared" si="2"/>
        <v>8.0423280423280424E-2</v>
      </c>
    </row>
    <row r="32" spans="1:11" x14ac:dyDescent="0.2">
      <c r="A32" s="100">
        <v>2006</v>
      </c>
      <c r="B32" s="124">
        <v>364.4</v>
      </c>
      <c r="C32" s="21">
        <v>2147</v>
      </c>
      <c r="D32" s="93">
        <v>79022000</v>
      </c>
      <c r="E32" s="93">
        <v>8502000</v>
      </c>
      <c r="F32" s="94">
        <v>26546000</v>
      </c>
      <c r="G32" s="187">
        <f t="shared" si="0"/>
        <v>0.33593176583736173</v>
      </c>
      <c r="H32" s="149">
        <f t="shared" si="3"/>
        <v>216.85510428100989</v>
      </c>
      <c r="I32" s="149">
        <f t="shared" si="1"/>
        <v>36805.775500698648</v>
      </c>
      <c r="J32" s="150">
        <f t="shared" si="4"/>
        <v>5.6844547563805005E-2</v>
      </c>
      <c r="K32" s="150">
        <f t="shared" si="2"/>
        <v>5.1420176297747304E-2</v>
      </c>
    </row>
    <row r="33" spans="1:11" x14ac:dyDescent="0.2">
      <c r="A33" s="100">
        <v>2007</v>
      </c>
      <c r="B33" s="124">
        <v>331</v>
      </c>
      <c r="C33" s="21">
        <v>2234</v>
      </c>
      <c r="D33" s="93">
        <v>77349000</v>
      </c>
      <c r="E33" s="93">
        <v>6620000</v>
      </c>
      <c r="F33" s="94">
        <v>25997000</v>
      </c>
      <c r="G33" s="187">
        <f t="shared" si="0"/>
        <v>0.3361000142212569</v>
      </c>
      <c r="H33" s="149">
        <f t="shared" si="3"/>
        <v>233.68277945619334</v>
      </c>
      <c r="I33" s="149">
        <f t="shared" si="1"/>
        <v>34623.54521038496</v>
      </c>
      <c r="J33" s="150">
        <f t="shared" si="4"/>
        <v>-9.1657519209659657E-2</v>
      </c>
      <c r="K33" s="150">
        <f t="shared" si="2"/>
        <v>4.0521658127619938E-2</v>
      </c>
    </row>
    <row r="34" spans="1:11" x14ac:dyDescent="0.2">
      <c r="A34" s="100">
        <v>2008</v>
      </c>
      <c r="B34" s="124">
        <v>322</v>
      </c>
      <c r="C34" s="21">
        <v>2274</v>
      </c>
      <c r="D34" s="93">
        <v>71288000</v>
      </c>
      <c r="E34" s="93">
        <v>3590000</v>
      </c>
      <c r="F34" s="94">
        <v>23990000</v>
      </c>
      <c r="G34" s="187">
        <f t="shared" si="0"/>
        <v>0.33652227583885086</v>
      </c>
      <c r="H34" s="149">
        <f t="shared" si="3"/>
        <v>221.39130434782609</v>
      </c>
      <c r="I34" s="149">
        <f t="shared" si="1"/>
        <v>31349.164467897976</v>
      </c>
      <c r="J34" s="150">
        <f t="shared" si="4"/>
        <v>-2.7190332326283987E-2</v>
      </c>
      <c r="K34" s="150">
        <f t="shared" si="2"/>
        <v>1.7905102954341987E-2</v>
      </c>
    </row>
    <row r="35" spans="1:11" x14ac:dyDescent="0.2">
      <c r="A35" s="100">
        <v>2009</v>
      </c>
      <c r="B35" s="124">
        <v>317</v>
      </c>
      <c r="C35" s="21">
        <v>2244</v>
      </c>
      <c r="D35" s="93">
        <v>66176000</v>
      </c>
      <c r="E35" s="93">
        <v>3982000</v>
      </c>
      <c r="F35" s="94">
        <v>22412000</v>
      </c>
      <c r="G35" s="187">
        <f t="shared" si="0"/>
        <v>0.33867263056092844</v>
      </c>
      <c r="H35" s="149">
        <f t="shared" si="3"/>
        <v>208.75709779179812</v>
      </c>
      <c r="I35" s="149">
        <f t="shared" si="1"/>
        <v>29490.196078431374</v>
      </c>
      <c r="J35" s="150">
        <f t="shared" si="4"/>
        <v>-1.5527950310559006E-2</v>
      </c>
      <c r="K35" s="150">
        <f t="shared" si="2"/>
        <v>-1.3192612137203167E-2</v>
      </c>
    </row>
    <row r="36" spans="1:11" x14ac:dyDescent="0.2">
      <c r="A36" s="100">
        <v>2010</v>
      </c>
      <c r="B36" s="124">
        <v>321</v>
      </c>
      <c r="C36" s="21">
        <v>2248</v>
      </c>
      <c r="D36" s="93">
        <v>67997000</v>
      </c>
      <c r="E36" s="93">
        <v>5273000</v>
      </c>
      <c r="F36" s="94">
        <v>23304000</v>
      </c>
      <c r="G36" s="187">
        <f t="shared" si="0"/>
        <v>0.34272100239716458</v>
      </c>
      <c r="H36" s="149">
        <f t="shared" si="3"/>
        <v>211.82866043613708</v>
      </c>
      <c r="I36" s="149">
        <f t="shared" si="1"/>
        <v>30247.775800711745</v>
      </c>
      <c r="J36" s="150">
        <f t="shared" si="4"/>
        <v>1.2618296529968454E-2</v>
      </c>
      <c r="K36" s="150">
        <f t="shared" si="2"/>
        <v>1.7825311942959001E-3</v>
      </c>
    </row>
    <row r="37" spans="1:11" x14ac:dyDescent="0.2">
      <c r="A37" s="100">
        <v>2011</v>
      </c>
      <c r="B37" s="124">
        <v>331</v>
      </c>
      <c r="C37" s="21">
        <v>2252</v>
      </c>
      <c r="D37" s="93">
        <v>70395000</v>
      </c>
      <c r="E37" s="93">
        <v>6068000</v>
      </c>
      <c r="F37" s="94">
        <v>24262000</v>
      </c>
      <c r="G37" s="187">
        <f t="shared" si="0"/>
        <v>0.34465516016762554</v>
      </c>
      <c r="H37" s="149">
        <f t="shared" si="3"/>
        <v>212.67371601208458</v>
      </c>
      <c r="I37" s="149">
        <f t="shared" si="1"/>
        <v>31258.880994671403</v>
      </c>
      <c r="J37" s="150">
        <f t="shared" si="4"/>
        <v>3.1152647975077882E-2</v>
      </c>
      <c r="K37" s="150">
        <f t="shared" si="2"/>
        <v>1.7793594306049821E-3</v>
      </c>
    </row>
    <row r="38" spans="1:11" x14ac:dyDescent="0.2">
      <c r="A38" s="100">
        <v>2012</v>
      </c>
      <c r="B38" s="124">
        <v>340</v>
      </c>
      <c r="C38" s="21">
        <v>2256</v>
      </c>
      <c r="D38" s="93">
        <v>74754000</v>
      </c>
      <c r="E38" s="93">
        <v>7221000</v>
      </c>
      <c r="F38" s="94">
        <v>25842000</v>
      </c>
      <c r="G38" s="187">
        <f t="shared" si="0"/>
        <v>0.34569387591299461</v>
      </c>
      <c r="H38" s="149">
        <f t="shared" si="3"/>
        <v>219.86470588235295</v>
      </c>
      <c r="I38" s="149">
        <f t="shared" si="1"/>
        <v>33135.638297872341</v>
      </c>
      <c r="J38" s="150">
        <f t="shared" si="4"/>
        <v>2.7190332326283987E-2</v>
      </c>
      <c r="K38" s="150">
        <f t="shared" si="2"/>
        <v>1.7761989342806395E-3</v>
      </c>
    </row>
    <row r="39" spans="1:11" x14ac:dyDescent="0.2">
      <c r="A39" s="100">
        <v>2013</v>
      </c>
      <c r="B39" s="124">
        <v>365</v>
      </c>
      <c r="C39" s="21">
        <v>2263</v>
      </c>
      <c r="D39" s="93">
        <v>78812000</v>
      </c>
      <c r="E39" s="93">
        <v>8467000</v>
      </c>
      <c r="F39" s="94">
        <v>26915000</v>
      </c>
      <c r="G39" s="187">
        <f t="shared" si="0"/>
        <v>0.34150890727300409</v>
      </c>
      <c r="H39" s="149">
        <f t="shared" si="3"/>
        <v>215.92328767123288</v>
      </c>
      <c r="I39" s="149">
        <f t="shared" si="1"/>
        <v>34826.33672116659</v>
      </c>
      <c r="J39" s="150">
        <f t="shared" si="4"/>
        <v>7.3529411764705885E-2</v>
      </c>
      <c r="K39" s="150">
        <f t="shared" si="2"/>
        <v>3.1028368794326243E-3</v>
      </c>
    </row>
    <row r="40" spans="1:11" x14ac:dyDescent="0.2">
      <c r="A40" s="100">
        <v>2014</v>
      </c>
      <c r="B40" s="124">
        <v>371</v>
      </c>
      <c r="C40" s="21">
        <v>2269</v>
      </c>
      <c r="D40" s="93">
        <v>83176000</v>
      </c>
      <c r="E40" s="93">
        <v>9976000</v>
      </c>
      <c r="F40" s="94">
        <v>28389000</v>
      </c>
      <c r="G40" s="187">
        <f t="shared" si="0"/>
        <v>0.34131239780705974</v>
      </c>
      <c r="H40" s="149">
        <f t="shared" si="3"/>
        <v>224.19407008086253</v>
      </c>
      <c r="I40" s="149">
        <f t="shared" si="1"/>
        <v>36657.558395769061</v>
      </c>
      <c r="J40" s="150">
        <f t="shared" si="4"/>
        <v>1.643835616438356E-2</v>
      </c>
      <c r="K40" s="150">
        <f t="shared" si="2"/>
        <v>2.6513477684489617E-3</v>
      </c>
    </row>
    <row r="41" spans="1:11" x14ac:dyDescent="0.2">
      <c r="A41" s="100">
        <v>2015</v>
      </c>
      <c r="B41" s="124">
        <v>385</v>
      </c>
      <c r="C41" s="21">
        <v>2274</v>
      </c>
      <c r="D41" s="93">
        <v>88519000</v>
      </c>
      <c r="E41" s="93">
        <v>11021000</v>
      </c>
      <c r="F41" s="94">
        <v>30265000</v>
      </c>
      <c r="G41" s="187">
        <f t="shared" si="0"/>
        <v>0.34190399801172627</v>
      </c>
      <c r="H41" s="149">
        <f t="shared" si="3"/>
        <v>229.91948051948052</v>
      </c>
      <c r="I41" s="149">
        <f t="shared" si="1"/>
        <v>38926.561125769571</v>
      </c>
      <c r="J41" s="150">
        <f t="shared" si="4"/>
        <v>3.7735849056603772E-2</v>
      </c>
      <c r="K41" s="150">
        <f t="shared" si="2"/>
        <v>2.2036139268400176E-3</v>
      </c>
    </row>
    <row r="42" spans="1:11" x14ac:dyDescent="0.2">
      <c r="A42" s="100">
        <v>2016</v>
      </c>
      <c r="B42" s="124">
        <v>406</v>
      </c>
      <c r="C42" s="21">
        <v>2278</v>
      </c>
      <c r="D42" s="93">
        <v>94595000</v>
      </c>
      <c r="E42" s="93">
        <v>12491000</v>
      </c>
      <c r="F42" s="94">
        <v>32313000</v>
      </c>
      <c r="G42" s="187">
        <f t="shared" si="0"/>
        <v>0.34159310745811089</v>
      </c>
      <c r="H42" s="149">
        <f t="shared" si="3"/>
        <v>232.99261083743843</v>
      </c>
      <c r="I42" s="149">
        <f t="shared" si="1"/>
        <v>41525.460930640911</v>
      </c>
      <c r="J42" s="150">
        <f t="shared" si="4"/>
        <v>5.4545454545454543E-2</v>
      </c>
      <c r="K42" s="150">
        <f t="shared" si="2"/>
        <v>1.7590149516270889E-3</v>
      </c>
    </row>
    <row r="43" spans="1:11" x14ac:dyDescent="0.2">
      <c r="A43" s="100">
        <v>2017</v>
      </c>
      <c r="B43" s="124">
        <v>413</v>
      </c>
      <c r="C43" s="21">
        <v>2284</v>
      </c>
      <c r="D43" s="93">
        <v>100904000</v>
      </c>
      <c r="E43" s="93">
        <v>13698000</v>
      </c>
      <c r="F43" s="94">
        <v>34356000</v>
      </c>
      <c r="G43" s="187">
        <f t="shared" si="0"/>
        <v>0.34048204233727108</v>
      </c>
      <c r="H43" s="149">
        <f t="shared" si="3"/>
        <v>244.31961259079904</v>
      </c>
      <c r="I43" s="149">
        <f t="shared" si="1"/>
        <v>44178.633975481614</v>
      </c>
      <c r="J43" s="150">
        <f t="shared" si="4"/>
        <v>1.7241379310344827E-2</v>
      </c>
      <c r="K43" s="150">
        <f t="shared" si="2"/>
        <v>2.6338893766461808E-3</v>
      </c>
    </row>
    <row r="44" spans="1:11" x14ac:dyDescent="0.2">
      <c r="A44" s="100">
        <v>2018</v>
      </c>
      <c r="B44" s="124">
        <v>413</v>
      </c>
      <c r="C44" s="21">
        <v>2287</v>
      </c>
      <c r="D44" s="93">
        <v>108203000</v>
      </c>
      <c r="E44" s="93">
        <v>14556000</v>
      </c>
      <c r="F44" s="94">
        <v>37160000</v>
      </c>
      <c r="G44" s="187">
        <f t="shared" si="0"/>
        <v>0.34342855558533497</v>
      </c>
      <c r="H44" s="149">
        <f t="shared" si="3"/>
        <v>261.99273607748182</v>
      </c>
      <c r="I44" s="149">
        <f t="shared" si="1"/>
        <v>47312.199387844339</v>
      </c>
      <c r="J44" s="150">
        <f t="shared" si="4"/>
        <v>0</v>
      </c>
      <c r="K44" s="150">
        <f t="shared" si="2"/>
        <v>1.3134851138353765E-3</v>
      </c>
    </row>
    <row r="45" spans="1:11" x14ac:dyDescent="0.2">
      <c r="A45" s="100">
        <v>2019</v>
      </c>
      <c r="B45" s="124">
        <v>415</v>
      </c>
      <c r="C45" s="21">
        <v>2291</v>
      </c>
      <c r="D45" s="93">
        <v>110225000</v>
      </c>
      <c r="E45" s="93">
        <v>14715000</v>
      </c>
      <c r="F45" s="94">
        <v>37572000</v>
      </c>
      <c r="G45" s="187">
        <f t="shared" si="0"/>
        <v>0.34086640961669312</v>
      </c>
      <c r="H45" s="149">
        <f t="shared" si="3"/>
        <v>265.60240963855421</v>
      </c>
      <c r="I45" s="149">
        <f t="shared" si="1"/>
        <v>48112.178088171102</v>
      </c>
      <c r="J45" s="150">
        <f t="shared" si="4"/>
        <v>4.8426150121065378E-3</v>
      </c>
      <c r="K45" s="150">
        <f t="shared" si="2"/>
        <v>1.7490161783996502E-3</v>
      </c>
    </row>
    <row r="46" spans="1:11" x14ac:dyDescent="0.2">
      <c r="A46" s="100">
        <v>2020</v>
      </c>
      <c r="B46" s="124">
        <v>505</v>
      </c>
      <c r="C46" s="21">
        <v>2296</v>
      </c>
      <c r="D46" s="93">
        <v>132311000</v>
      </c>
      <c r="E46" s="93">
        <v>16978000</v>
      </c>
      <c r="F46" s="94">
        <v>44853000</v>
      </c>
      <c r="G46" s="187">
        <f t="shared" si="0"/>
        <v>0.33899675763919856</v>
      </c>
      <c r="H46" s="149">
        <f t="shared" si="3"/>
        <v>262.00198019801979</v>
      </c>
      <c r="I46" s="149">
        <f t="shared" si="1"/>
        <v>57626.742160278744</v>
      </c>
      <c r="J46" s="150">
        <f t="shared" si="4"/>
        <v>0.21686746987951808</v>
      </c>
      <c r="K46" s="150">
        <f t="shared" si="2"/>
        <v>2.1824530772588391E-3</v>
      </c>
    </row>
    <row r="47" spans="1:11" x14ac:dyDescent="0.2">
      <c r="A47" s="100">
        <v>2021</v>
      </c>
      <c r="B47" s="124">
        <v>490.6</v>
      </c>
      <c r="C47" s="21">
        <v>2317</v>
      </c>
      <c r="D47" s="93">
        <v>151157000</v>
      </c>
      <c r="E47" s="93">
        <v>21737000</v>
      </c>
      <c r="F47" s="94">
        <v>50832000</v>
      </c>
      <c r="G47" s="187">
        <f t="shared" si="0"/>
        <v>0.33628611311417927</v>
      </c>
      <c r="H47" s="149">
        <f t="shared" si="3"/>
        <v>308.10640032613128</v>
      </c>
      <c r="I47" s="149">
        <f t="shared" si="1"/>
        <v>65238.239102287444</v>
      </c>
      <c r="J47" s="150">
        <f t="shared" si="4"/>
        <v>-2.8514851485148471E-2</v>
      </c>
      <c r="K47" s="150">
        <f t="shared" si="2"/>
        <v>9.1463414634146336E-3</v>
      </c>
    </row>
    <row r="48" spans="1:11" ht="14.25" customHeight="1" x14ac:dyDescent="0.2">
      <c r="A48" s="101">
        <v>2022</v>
      </c>
      <c r="B48" s="125">
        <v>471.6</v>
      </c>
      <c r="C48" s="90">
        <v>2322</v>
      </c>
      <c r="D48" s="91">
        <v>157403000</v>
      </c>
      <c r="E48" s="91">
        <v>22477000</v>
      </c>
      <c r="F48" s="92">
        <v>52778000</v>
      </c>
      <c r="G48" s="187">
        <f t="shared" si="0"/>
        <v>0.33530491794946732</v>
      </c>
      <c r="H48" s="149">
        <f t="shared" si="3"/>
        <v>333.76378286683632</v>
      </c>
      <c r="I48" s="149">
        <f t="shared" si="1"/>
        <v>67787.683031869077</v>
      </c>
      <c r="J48" s="150">
        <f t="shared" si="4"/>
        <v>-3.8728088055442311E-2</v>
      </c>
      <c r="K48" s="150">
        <f t="shared" si="2"/>
        <v>2.1579628830384117E-3</v>
      </c>
    </row>
    <row r="49" spans="1:11" ht="14.25" customHeight="1" x14ac:dyDescent="0.2">
      <c r="B49" s="152"/>
      <c r="C49" s="128"/>
      <c r="D49" s="87"/>
      <c r="E49" s="87"/>
      <c r="F49" s="89"/>
      <c r="G49" s="137"/>
      <c r="H49" s="88"/>
      <c r="I49" s="88"/>
      <c r="J49" s="95"/>
      <c r="K49" s="95"/>
    </row>
    <row r="50" spans="1:11" x14ac:dyDescent="0.2">
      <c r="A50" t="s">
        <v>22</v>
      </c>
      <c r="B50" s="126"/>
      <c r="D50" s="98">
        <f>SUM(D5:D48)</f>
        <v>2156044315</v>
      </c>
      <c r="E50" s="98">
        <f t="shared" ref="E50:F50" si="5">SUM(E5:E48)</f>
        <v>240490693</v>
      </c>
      <c r="F50" s="98">
        <f t="shared" si="5"/>
        <v>715114205</v>
      </c>
    </row>
    <row r="51" spans="1:11" x14ac:dyDescent="0.2">
      <c r="A51" t="s">
        <v>19</v>
      </c>
      <c r="B51" s="145" t="s">
        <v>111</v>
      </c>
      <c r="C51" s="145" t="s">
        <v>118</v>
      </c>
      <c r="D51" s="144"/>
      <c r="E51" s="144"/>
      <c r="F51" s="146"/>
      <c r="G51" s="127">
        <f>AVERAGE(G5:G48)</f>
        <v>0.30653591862042506</v>
      </c>
      <c r="H51" s="88"/>
      <c r="I51" s="88"/>
    </row>
    <row r="52" spans="1:11" x14ac:dyDescent="0.2">
      <c r="A52" t="s">
        <v>24</v>
      </c>
      <c r="B52" s="151">
        <f>MAX(B5:B48)</f>
        <v>505</v>
      </c>
      <c r="C52" s="151">
        <f>MAX(C5:C48)</f>
        <v>2322</v>
      </c>
      <c r="D52" s="151">
        <f t="shared" ref="D52:K52" si="6">MAX(D5:D48)</f>
        <v>157403000</v>
      </c>
      <c r="E52" s="151">
        <f t="shared" si="6"/>
        <v>22477000</v>
      </c>
      <c r="F52" s="151">
        <f t="shared" si="6"/>
        <v>52778000</v>
      </c>
      <c r="G52" s="151">
        <f t="shared" si="6"/>
        <v>0.34569387591299461</v>
      </c>
      <c r="H52" s="151">
        <f t="shared" si="6"/>
        <v>333.76378286683632</v>
      </c>
      <c r="I52" s="151">
        <f t="shared" si="6"/>
        <v>67787.683031869077</v>
      </c>
      <c r="J52" s="151">
        <f t="shared" si="6"/>
        <v>0.66666666666666674</v>
      </c>
      <c r="K52" s="151">
        <f t="shared" si="6"/>
        <v>1</v>
      </c>
    </row>
    <row r="53" spans="1:11" x14ac:dyDescent="0.2">
      <c r="A53" t="s">
        <v>23</v>
      </c>
      <c r="B53" s="151">
        <f>MIN(B5:B48)</f>
        <v>2.4</v>
      </c>
      <c r="C53" s="151">
        <f>MIN(C5:C48)</f>
        <v>2</v>
      </c>
      <c r="D53" s="151">
        <f t="shared" ref="D53:K53" si="7">MIN(D5:D48)</f>
        <v>7025</v>
      </c>
      <c r="E53" s="151">
        <f t="shared" si="7"/>
        <v>-903</v>
      </c>
      <c r="F53" s="151">
        <f t="shared" si="7"/>
        <v>2024</v>
      </c>
      <c r="G53" s="151">
        <f t="shared" si="7"/>
        <v>0.19921081677306102</v>
      </c>
      <c r="H53" s="151">
        <f t="shared" si="7"/>
        <v>106.74333333333334</v>
      </c>
      <c r="I53" s="151">
        <f t="shared" si="7"/>
        <v>3512.5</v>
      </c>
      <c r="J53" s="151">
        <f t="shared" si="7"/>
        <v>-9.1657519209659657E-2</v>
      </c>
      <c r="K53" s="151">
        <f t="shared" si="7"/>
        <v>-1.3192612137203167E-2</v>
      </c>
    </row>
  </sheetData>
  <autoFilter ref="A4:K48" xr:uid="{0BE5FFE9-6B87-48FA-98C5-048826D44734}"/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A4335-0185-4076-A52D-073B2F3E611E}">
  <sheetPr codeName="Sheet10"/>
  <dimension ref="A1:I74"/>
  <sheetViews>
    <sheetView topLeftCell="A17" workbookViewId="0">
      <selection activeCell="B27" sqref="B27"/>
    </sheetView>
  </sheetViews>
  <sheetFormatPr baseColWidth="10" defaultColWidth="9.1640625" defaultRowHeight="13" x14ac:dyDescent="0.15"/>
  <cols>
    <col min="1" max="1" width="12.5" style="27" customWidth="1"/>
    <col min="2" max="4" width="13.83203125" style="27" customWidth="1"/>
    <col min="5" max="5" width="11.6640625" style="27" bestFit="1" customWidth="1"/>
    <col min="6" max="6" width="13.5" style="27" bestFit="1" customWidth="1"/>
    <col min="7" max="7" width="17.6640625" style="27" customWidth="1"/>
    <col min="8" max="8" width="14.5" style="27" bestFit="1" customWidth="1"/>
    <col min="9" max="10" width="9.1640625" style="27"/>
    <col min="11" max="11" width="10.6640625" style="27" bestFit="1" customWidth="1"/>
    <col min="12" max="16384" width="9.1640625" style="27"/>
  </cols>
  <sheetData>
    <row r="1" spans="1:7" ht="17" x14ac:dyDescent="0.2">
      <c r="A1" s="26" t="s">
        <v>35</v>
      </c>
      <c r="G1" s="28"/>
    </row>
    <row r="2" spans="1:7" ht="14" x14ac:dyDescent="0.15">
      <c r="A2" s="29" t="s">
        <v>36</v>
      </c>
      <c r="C2" s="30"/>
      <c r="G2" s="30"/>
    </row>
    <row r="4" spans="1:7" ht="28" x14ac:dyDescent="0.15">
      <c r="A4" s="31" t="s">
        <v>25</v>
      </c>
      <c r="B4" s="31" t="s">
        <v>37</v>
      </c>
      <c r="C4" s="31" t="s">
        <v>38</v>
      </c>
      <c r="D4" s="31" t="s">
        <v>30</v>
      </c>
      <c r="E4" s="32" t="s">
        <v>39</v>
      </c>
      <c r="G4" s="33"/>
    </row>
    <row r="5" spans="1:7" x14ac:dyDescent="0.15">
      <c r="A5" s="34">
        <v>2012</v>
      </c>
      <c r="B5" s="35">
        <v>6636160</v>
      </c>
      <c r="C5" s="35">
        <v>3812401</v>
      </c>
      <c r="D5" s="36">
        <v>10448561.492792901</v>
      </c>
      <c r="E5" s="69"/>
    </row>
    <row r="6" spans="1:7" x14ac:dyDescent="0.15">
      <c r="A6" s="34">
        <v>2011</v>
      </c>
      <c r="B6" s="35">
        <v>6344321.2507635076</v>
      </c>
      <c r="C6" s="35">
        <v>3644743.2738950956</v>
      </c>
      <c r="D6" s="36">
        <v>9989064.5246586036</v>
      </c>
      <c r="E6" s="69"/>
    </row>
    <row r="7" spans="1:7" x14ac:dyDescent="0.15">
      <c r="A7" s="34">
        <v>2010</v>
      </c>
      <c r="B7" s="35">
        <v>6382616.9524783781</v>
      </c>
      <c r="C7" s="35">
        <v>3666743.7363129733</v>
      </c>
      <c r="D7" s="36">
        <v>10049360.688791351</v>
      </c>
      <c r="E7" s="69"/>
    </row>
    <row r="8" spans="1:7" x14ac:dyDescent="0.15">
      <c r="A8" s="34">
        <v>2009</v>
      </c>
      <c r="B8" s="35">
        <v>6389005.9584368151</v>
      </c>
      <c r="C8" s="35">
        <v>3677777.0675155199</v>
      </c>
      <c r="D8" s="36">
        <v>10066783.025952335</v>
      </c>
      <c r="E8" s="69"/>
    </row>
    <row r="9" spans="1:7" x14ac:dyDescent="0.15">
      <c r="A9" s="34">
        <v>2008</v>
      </c>
      <c r="B9" s="35">
        <v>6401809.5775919994</v>
      </c>
      <c r="C9" s="35">
        <v>3685147.3622399997</v>
      </c>
      <c r="D9" s="36">
        <v>10086956.939831998</v>
      </c>
      <c r="E9" s="69"/>
    </row>
    <row r="10" spans="1:7" x14ac:dyDescent="0.15">
      <c r="A10" s="34">
        <v>2007</v>
      </c>
      <c r="B10" s="35">
        <v>6519154.3559999997</v>
      </c>
      <c r="C10" s="35">
        <v>3775765.74</v>
      </c>
      <c r="D10" s="36">
        <v>10294920.095999999</v>
      </c>
      <c r="E10" s="69"/>
    </row>
    <row r="11" spans="1:7" x14ac:dyDescent="0.15">
      <c r="A11" s="34">
        <v>2006</v>
      </c>
      <c r="B11" s="35">
        <v>6665802</v>
      </c>
      <c r="C11" s="35">
        <v>3892542</v>
      </c>
      <c r="D11" s="36">
        <v>10548344</v>
      </c>
      <c r="E11" s="69"/>
    </row>
    <row r="12" spans="1:7" x14ac:dyDescent="0.15">
      <c r="A12" s="37">
        <v>2005</v>
      </c>
      <c r="B12" s="38">
        <v>6729830</v>
      </c>
      <c r="C12" s="35">
        <v>4017071</v>
      </c>
      <c r="D12" s="36">
        <v>10746901</v>
      </c>
      <c r="E12" s="69"/>
    </row>
    <row r="13" spans="1:7" x14ac:dyDescent="0.15">
      <c r="A13" s="34">
        <v>2004</v>
      </c>
      <c r="B13" s="35">
        <v>6832315</v>
      </c>
      <c r="C13" s="35">
        <v>4156336</v>
      </c>
      <c r="D13" s="36">
        <v>10988651</v>
      </c>
      <c r="E13" s="69"/>
    </row>
    <row r="14" spans="1:7" x14ac:dyDescent="0.15">
      <c r="A14" s="34">
        <v>2003</v>
      </c>
      <c r="B14" s="35">
        <v>6974530</v>
      </c>
      <c r="C14" s="35">
        <v>4249832</v>
      </c>
      <c r="D14" s="36">
        <v>11224362</v>
      </c>
      <c r="E14" s="69"/>
    </row>
    <row r="15" spans="1:7" x14ac:dyDescent="0.15">
      <c r="A15" s="34">
        <v>2002</v>
      </c>
      <c r="B15" s="35">
        <v>6830230</v>
      </c>
      <c r="C15" s="35">
        <v>4195666</v>
      </c>
      <c r="D15" s="36">
        <v>11025896</v>
      </c>
      <c r="E15" s="69"/>
    </row>
    <row r="16" spans="1:7" x14ac:dyDescent="0.15">
      <c r="A16" s="37">
        <v>2001</v>
      </c>
      <c r="B16" s="38">
        <v>6689745</v>
      </c>
      <c r="C16" s="38">
        <v>4093333</v>
      </c>
      <c r="D16" s="39">
        <v>10783078</v>
      </c>
      <c r="E16" s="69"/>
    </row>
    <row r="17" spans="1:8" x14ac:dyDescent="0.15">
      <c r="A17" s="34">
        <v>2000</v>
      </c>
      <c r="B17" s="35">
        <v>6507803</v>
      </c>
      <c r="C17" s="35">
        <v>4032840</v>
      </c>
      <c r="D17" s="36">
        <v>10540643</v>
      </c>
      <c r="E17" s="69"/>
    </row>
    <row r="18" spans="1:8" x14ac:dyDescent="0.15">
      <c r="A18" s="37">
        <v>1999</v>
      </c>
      <c r="B18" s="38">
        <v>6475426</v>
      </c>
      <c r="C18" s="38">
        <v>3996868</v>
      </c>
      <c r="D18" s="38">
        <v>10472294</v>
      </c>
      <c r="E18" s="69"/>
    </row>
    <row r="19" spans="1:8" x14ac:dyDescent="0.15">
      <c r="A19" s="34">
        <v>1998</v>
      </c>
      <c r="B19" s="35">
        <v>6352295</v>
      </c>
      <c r="C19" s="35">
        <v>3914660</v>
      </c>
      <c r="D19" s="35">
        <v>10266955</v>
      </c>
      <c r="E19" s="69"/>
      <c r="H19" s="40"/>
    </row>
    <row r="20" spans="1:8" x14ac:dyDescent="0.15">
      <c r="A20" s="37">
        <v>1997</v>
      </c>
      <c r="B20" s="38">
        <v>6227741</v>
      </c>
      <c r="C20" s="38">
        <v>3837902</v>
      </c>
      <c r="D20" s="38">
        <v>10065642</v>
      </c>
      <c r="E20" s="69"/>
    </row>
    <row r="21" spans="1:8" x14ac:dyDescent="0.15">
      <c r="A21" s="34">
        <v>1996</v>
      </c>
      <c r="B21" s="35">
        <v>6157735</v>
      </c>
      <c r="C21" s="35">
        <v>3811504</v>
      </c>
      <c r="D21" s="35">
        <v>9969240</v>
      </c>
      <c r="E21" s="69"/>
    </row>
    <row r="22" spans="1:8" x14ac:dyDescent="0.15">
      <c r="A22" s="37">
        <v>1995</v>
      </c>
      <c r="B22" s="38">
        <v>6007134</v>
      </c>
      <c r="C22" s="38">
        <v>3713052</v>
      </c>
      <c r="D22" s="38">
        <v>9720186</v>
      </c>
      <c r="E22" s="69"/>
    </row>
    <row r="23" spans="1:8" x14ac:dyDescent="0.15">
      <c r="A23" s="34">
        <v>1994</v>
      </c>
      <c r="B23" s="35">
        <v>5846897</v>
      </c>
      <c r="C23" s="35">
        <v>3596320</v>
      </c>
      <c r="D23" s="35">
        <v>9443217</v>
      </c>
      <c r="E23" s="69"/>
    </row>
    <row r="24" spans="1:8" x14ac:dyDescent="0.15">
      <c r="A24" s="37">
        <v>1993</v>
      </c>
      <c r="B24" s="38">
        <v>5704671</v>
      </c>
      <c r="C24" s="38">
        <v>3489132</v>
      </c>
      <c r="D24" s="38">
        <v>9193802</v>
      </c>
      <c r="E24" s="69"/>
      <c r="G24" s="68" t="s">
        <v>58</v>
      </c>
    </row>
    <row r="25" spans="1:8" x14ac:dyDescent="0.15">
      <c r="A25" s="34">
        <v>1992</v>
      </c>
      <c r="B25" s="35">
        <v>5745052</v>
      </c>
      <c r="C25" s="35">
        <v>3418482</v>
      </c>
      <c r="D25" s="35">
        <v>9163534</v>
      </c>
      <c r="E25" s="69"/>
      <c r="G25" s="68" t="s">
        <v>60</v>
      </c>
    </row>
    <row r="26" spans="1:8" x14ac:dyDescent="0.15">
      <c r="A26" s="37">
        <v>1991</v>
      </c>
      <c r="B26" s="41">
        <v>5455070</v>
      </c>
      <c r="C26" s="41">
        <v>3242609</v>
      </c>
      <c r="D26" s="41">
        <v>8697679</v>
      </c>
      <c r="E26" s="69"/>
      <c r="G26" s="68" t="s">
        <v>59</v>
      </c>
    </row>
    <row r="27" spans="1:8" x14ac:dyDescent="0.15">
      <c r="A27" s="42">
        <v>1990</v>
      </c>
      <c r="B27" s="79"/>
      <c r="C27" s="79"/>
      <c r="D27" s="79"/>
      <c r="E27" s="69"/>
      <c r="G27" s="27" t="s">
        <v>40</v>
      </c>
    </row>
    <row r="28" spans="1:8" x14ac:dyDescent="0.15">
      <c r="A28" s="37">
        <v>1989</v>
      </c>
      <c r="B28" s="43">
        <v>5005078</v>
      </c>
      <c r="C28" s="43">
        <v>3365246</v>
      </c>
      <c r="D28" s="43">
        <v>8370324</v>
      </c>
      <c r="E28" s="69"/>
    </row>
    <row r="29" spans="1:8" x14ac:dyDescent="0.15">
      <c r="A29" s="34">
        <v>1988</v>
      </c>
      <c r="B29" s="35">
        <v>4869613</v>
      </c>
      <c r="C29" s="35">
        <v>3176674</v>
      </c>
      <c r="D29" s="35">
        <v>8046287</v>
      </c>
      <c r="E29" s="69"/>
    </row>
    <row r="30" spans="1:8" x14ac:dyDescent="0.15">
      <c r="A30" s="37">
        <v>1987</v>
      </c>
      <c r="B30" s="38">
        <v>5561670</v>
      </c>
      <c r="C30" s="38">
        <v>2837362</v>
      </c>
      <c r="D30" s="38">
        <v>8399032</v>
      </c>
      <c r="E30" s="69"/>
    </row>
    <row r="31" spans="1:8" x14ac:dyDescent="0.15">
      <c r="A31" s="34">
        <v>1986</v>
      </c>
      <c r="B31" s="35">
        <v>5410949</v>
      </c>
      <c r="C31" s="35">
        <v>2641199</v>
      </c>
      <c r="D31" s="35">
        <v>8052148</v>
      </c>
      <c r="E31" s="69"/>
    </row>
    <row r="32" spans="1:8" x14ac:dyDescent="0.15">
      <c r="A32" s="37">
        <v>1985</v>
      </c>
      <c r="B32" s="38">
        <v>5233661</v>
      </c>
      <c r="C32" s="38">
        <v>2425636</v>
      </c>
      <c r="D32" s="38">
        <v>7659297</v>
      </c>
      <c r="E32" s="69"/>
    </row>
    <row r="33" spans="1:5" x14ac:dyDescent="0.15">
      <c r="A33" s="34">
        <v>1984</v>
      </c>
      <c r="B33" s="35">
        <v>5093394</v>
      </c>
      <c r="C33" s="35">
        <v>2274764</v>
      </c>
      <c r="D33" s="35">
        <v>7368158</v>
      </c>
      <c r="E33" s="69"/>
    </row>
    <row r="34" spans="1:5" x14ac:dyDescent="0.15">
      <c r="A34" s="37">
        <v>1983</v>
      </c>
      <c r="B34" s="38">
        <v>4895936</v>
      </c>
      <c r="C34" s="38">
        <v>2148162</v>
      </c>
      <c r="D34" s="38">
        <v>7044098</v>
      </c>
      <c r="E34" s="69"/>
    </row>
    <row r="35" spans="1:5" x14ac:dyDescent="0.15">
      <c r="A35" s="34">
        <v>1982</v>
      </c>
      <c r="B35" s="35">
        <v>4689837</v>
      </c>
      <c r="C35" s="35">
        <v>1966824</v>
      </c>
      <c r="D35" s="35">
        <v>6656661</v>
      </c>
      <c r="E35" s="69"/>
    </row>
    <row r="36" spans="1:5" x14ac:dyDescent="0.15">
      <c r="A36" s="37">
        <v>1981</v>
      </c>
      <c r="B36" s="38">
        <v>4359244</v>
      </c>
      <c r="C36" s="38">
        <v>1846897</v>
      </c>
      <c r="D36" s="38">
        <v>6206141</v>
      </c>
      <c r="E36" s="69"/>
    </row>
    <row r="37" spans="1:5" x14ac:dyDescent="0.15">
      <c r="A37" s="34">
        <v>1980</v>
      </c>
      <c r="B37" s="35">
        <v>3863822</v>
      </c>
      <c r="C37" s="35">
        <v>1605767</v>
      </c>
      <c r="D37" s="35">
        <v>5469589</v>
      </c>
      <c r="E37" s="69"/>
    </row>
    <row r="38" spans="1:5" x14ac:dyDescent="0.15">
      <c r="A38" s="37">
        <v>1979</v>
      </c>
      <c r="B38" s="38">
        <v>3519008</v>
      </c>
      <c r="C38" s="38">
        <v>1431534</v>
      </c>
      <c r="D38" s="38">
        <v>4950542</v>
      </c>
      <c r="E38" s="69"/>
    </row>
    <row r="39" spans="1:5" x14ac:dyDescent="0.15">
      <c r="A39" s="34">
        <v>1978</v>
      </c>
      <c r="B39" s="35">
        <v>3289526</v>
      </c>
      <c r="C39" s="35">
        <v>1245253</v>
      </c>
      <c r="D39" s="35">
        <v>4534779</v>
      </c>
      <c r="E39" s="69"/>
    </row>
    <row r="40" spans="1:5" x14ac:dyDescent="0.15">
      <c r="A40" s="37">
        <v>1977</v>
      </c>
      <c r="B40" s="38">
        <v>3129901</v>
      </c>
      <c r="C40" s="38">
        <v>1180335</v>
      </c>
      <c r="D40" s="38">
        <v>4310236</v>
      </c>
      <c r="E40" s="69"/>
    </row>
    <row r="41" spans="1:5" x14ac:dyDescent="0.15">
      <c r="A41" s="34">
        <v>1976</v>
      </c>
      <c r="B41" s="35">
        <v>2973894</v>
      </c>
      <c r="C41" s="35">
        <v>1113409</v>
      </c>
      <c r="D41" s="35">
        <v>4087303</v>
      </c>
      <c r="E41" s="69"/>
    </row>
    <row r="42" spans="1:5" x14ac:dyDescent="0.15">
      <c r="A42" s="37">
        <v>1975</v>
      </c>
      <c r="B42" s="38">
        <v>2886978</v>
      </c>
      <c r="C42" s="38">
        <v>1034537</v>
      </c>
      <c r="D42" s="38">
        <v>3921515</v>
      </c>
      <c r="E42" s="69"/>
    </row>
    <row r="43" spans="1:5" x14ac:dyDescent="0.15">
      <c r="A43" s="34">
        <v>1974</v>
      </c>
      <c r="B43" s="35">
        <v>2641020</v>
      </c>
      <c r="C43" s="35">
        <v>940713</v>
      </c>
      <c r="D43" s="35">
        <v>3581733</v>
      </c>
      <c r="E43" s="69"/>
    </row>
    <row r="44" spans="1:5" x14ac:dyDescent="0.15">
      <c r="A44" s="37">
        <v>1973</v>
      </c>
      <c r="B44" s="38">
        <v>2206430</v>
      </c>
      <c r="C44" s="38">
        <v>831390</v>
      </c>
      <c r="D44" s="38">
        <v>3037820</v>
      </c>
      <c r="E44" s="69"/>
    </row>
    <row r="45" spans="1:5" x14ac:dyDescent="0.15">
      <c r="A45" s="34">
        <v>1972</v>
      </c>
      <c r="B45" s="35">
        <v>2138653</v>
      </c>
      <c r="C45" s="35">
        <v>790580</v>
      </c>
      <c r="D45" s="35">
        <v>2929233</v>
      </c>
      <c r="E45" s="69"/>
    </row>
    <row r="46" spans="1:5" x14ac:dyDescent="0.15">
      <c r="A46" s="37">
        <v>1971</v>
      </c>
      <c r="B46" s="38">
        <v>2088520</v>
      </c>
      <c r="C46" s="38">
        <v>744800</v>
      </c>
      <c r="D46" s="38">
        <v>2833320</v>
      </c>
      <c r="E46" s="69"/>
    </row>
    <row r="47" spans="1:5" x14ac:dyDescent="0.15">
      <c r="A47" s="34">
        <v>1970</v>
      </c>
      <c r="B47" s="35">
        <v>1921404</v>
      </c>
      <c r="C47" s="35">
        <v>712998</v>
      </c>
      <c r="D47" s="35">
        <v>2634402</v>
      </c>
      <c r="E47" s="69"/>
    </row>
    <row r="48" spans="1:5" x14ac:dyDescent="0.15">
      <c r="A48" s="37">
        <v>1969</v>
      </c>
      <c r="B48" s="38">
        <v>1799116</v>
      </c>
      <c r="C48" s="38">
        <v>626330</v>
      </c>
      <c r="D48" s="38">
        <v>2425446</v>
      </c>
      <c r="E48" s="69"/>
    </row>
    <row r="49" spans="1:9" x14ac:dyDescent="0.15">
      <c r="A49" s="34">
        <v>1968</v>
      </c>
      <c r="B49" s="35">
        <v>1732427</v>
      </c>
      <c r="C49" s="35">
        <v>555788</v>
      </c>
      <c r="D49" s="35">
        <v>2288215</v>
      </c>
      <c r="E49" s="69"/>
    </row>
    <row r="50" spans="1:9" x14ac:dyDescent="0.15">
      <c r="A50" s="37">
        <v>1967</v>
      </c>
      <c r="B50" s="38">
        <v>1643068</v>
      </c>
      <c r="C50" s="38">
        <v>537174</v>
      </c>
      <c r="D50" s="38">
        <v>2180242</v>
      </c>
      <c r="E50" s="69"/>
    </row>
    <row r="51" spans="1:9" x14ac:dyDescent="0.15">
      <c r="A51" s="34">
        <v>1966</v>
      </c>
      <c r="B51" s="35">
        <v>1580811</v>
      </c>
      <c r="C51" s="35">
        <v>528239</v>
      </c>
      <c r="D51" s="35">
        <v>2109050</v>
      </c>
      <c r="E51" s="69"/>
    </row>
    <row r="52" spans="1:9" x14ac:dyDescent="0.15">
      <c r="A52" s="37">
        <v>1965</v>
      </c>
      <c r="B52" s="38">
        <v>1501332</v>
      </c>
      <c r="C52" s="38">
        <v>521758</v>
      </c>
      <c r="D52" s="38">
        <v>2023090</v>
      </c>
      <c r="E52" s="69"/>
    </row>
    <row r="53" spans="1:9" x14ac:dyDescent="0.15">
      <c r="A53" s="34">
        <v>1964</v>
      </c>
      <c r="B53" s="35">
        <v>1486318</v>
      </c>
      <c r="C53" s="35">
        <v>497491</v>
      </c>
      <c r="D53" s="35">
        <v>1983809</v>
      </c>
      <c r="E53" s="69"/>
    </row>
    <row r="54" spans="1:9" x14ac:dyDescent="0.15">
      <c r="A54" s="37">
        <v>1963</v>
      </c>
      <c r="B54" s="38">
        <v>1418540</v>
      </c>
      <c r="C54" s="38">
        <v>483280</v>
      </c>
      <c r="D54" s="38">
        <v>1901820</v>
      </c>
      <c r="E54" s="69"/>
      <c r="F54" s="44"/>
      <c r="G54" s="44"/>
      <c r="H54" s="44"/>
    </row>
    <row r="55" spans="1:9" x14ac:dyDescent="0.15">
      <c r="A55" s="34">
        <v>1962</v>
      </c>
      <c r="B55" s="35">
        <v>1350763</v>
      </c>
      <c r="C55" s="35">
        <v>469077</v>
      </c>
      <c r="D55" s="35">
        <v>1819840</v>
      </c>
      <c r="E55" s="69"/>
      <c r="F55" s="44"/>
      <c r="G55" s="44"/>
      <c r="H55" s="44"/>
    </row>
    <row r="56" spans="1:9" x14ac:dyDescent="0.15">
      <c r="A56" s="37">
        <v>1961</v>
      </c>
      <c r="B56" s="38">
        <v>1233592</v>
      </c>
      <c r="C56" s="38">
        <v>450727</v>
      </c>
      <c r="D56" s="38">
        <v>1684319</v>
      </c>
      <c r="E56" s="69"/>
      <c r="F56" s="44"/>
      <c r="G56" s="44"/>
      <c r="H56" s="44"/>
    </row>
    <row r="57" spans="1:9" x14ac:dyDescent="0.15">
      <c r="A57" s="34">
        <v>1960</v>
      </c>
      <c r="B57" s="35">
        <v>1168627</v>
      </c>
      <c r="C57" s="35">
        <v>435601</v>
      </c>
      <c r="D57" s="35">
        <v>1604228</v>
      </c>
      <c r="E57" s="69"/>
      <c r="F57" s="44"/>
      <c r="G57" s="44"/>
      <c r="H57" s="44"/>
    </row>
    <row r="58" spans="1:9" x14ac:dyDescent="0.15">
      <c r="A58" s="37">
        <v>1959</v>
      </c>
      <c r="B58" s="38">
        <v>1131744</v>
      </c>
      <c r="C58" s="38">
        <v>417832</v>
      </c>
      <c r="D58" s="38">
        <v>1549576</v>
      </c>
      <c r="E58" s="69"/>
      <c r="F58" s="44"/>
      <c r="G58" s="44"/>
      <c r="H58" s="44"/>
    </row>
    <row r="59" spans="1:9" x14ac:dyDescent="0.15">
      <c r="A59" s="34">
        <v>1958</v>
      </c>
      <c r="B59" s="35">
        <v>1064760</v>
      </c>
      <c r="C59" s="35">
        <v>394253</v>
      </c>
      <c r="D59" s="35">
        <v>1459013</v>
      </c>
      <c r="E59" s="69"/>
    </row>
    <row r="60" spans="1:9" x14ac:dyDescent="0.15">
      <c r="A60" s="37">
        <v>1957</v>
      </c>
      <c r="B60" s="38">
        <v>989574</v>
      </c>
      <c r="C60" s="38">
        <v>383890</v>
      </c>
      <c r="D60" s="45">
        <v>1373464</v>
      </c>
      <c r="E60" s="69"/>
      <c r="F60" s="46"/>
      <c r="G60" s="46"/>
      <c r="H60" s="46"/>
      <c r="I60" s="47"/>
    </row>
    <row r="61" spans="1:9" x14ac:dyDescent="0.15">
      <c r="A61" s="48">
        <v>1956</v>
      </c>
      <c r="B61" s="49">
        <v>961507</v>
      </c>
      <c r="C61" s="50">
        <v>382985</v>
      </c>
      <c r="D61" s="51">
        <v>1344492</v>
      </c>
      <c r="E61" s="52"/>
      <c r="F61" s="46"/>
      <c r="G61" s="46"/>
      <c r="H61" s="46"/>
      <c r="I61" s="47"/>
    </row>
    <row r="62" spans="1:9" ht="14" x14ac:dyDescent="0.15">
      <c r="A62" s="62" t="str">
        <f>("Fall 2022")</f>
        <v>Fall 2022</v>
      </c>
      <c r="B62" s="63"/>
      <c r="C62" s="63" t="s">
        <v>56</v>
      </c>
      <c r="D62" s="63"/>
      <c r="E62" s="61" t="str">
        <f>("Joe Student")</f>
        <v>Joe Student</v>
      </c>
      <c r="F62" s="46" t="s">
        <v>56</v>
      </c>
      <c r="G62" s="46"/>
      <c r="H62" s="46"/>
      <c r="I62" s="47"/>
    </row>
    <row r="63" spans="1:9" x14ac:dyDescent="0.15">
      <c r="A63" s="27" t="s">
        <v>19</v>
      </c>
      <c r="B63" s="70"/>
      <c r="C63" s="70"/>
      <c r="D63" s="70"/>
    </row>
    <row r="64" spans="1:9" x14ac:dyDescent="0.15">
      <c r="A64" s="27" t="s">
        <v>26</v>
      </c>
      <c r="B64" s="70"/>
      <c r="C64" s="70"/>
      <c r="D64" s="70"/>
    </row>
    <row r="65" spans="1:4" x14ac:dyDescent="0.15">
      <c r="A65" s="27" t="s">
        <v>27</v>
      </c>
      <c r="B65" s="70"/>
      <c r="C65" s="70"/>
      <c r="D65" s="70"/>
    </row>
    <row r="66" spans="1:4" x14ac:dyDescent="0.15">
      <c r="A66" s="27" t="s">
        <v>20</v>
      </c>
      <c r="B66" s="70"/>
      <c r="C66" s="70"/>
      <c r="D66" s="70"/>
    </row>
    <row r="67" spans="1:4" x14ac:dyDescent="0.15">
      <c r="B67" s="44"/>
      <c r="C67" s="44"/>
      <c r="D67" s="44"/>
    </row>
    <row r="68" spans="1:4" x14ac:dyDescent="0.15">
      <c r="B68" s="44"/>
      <c r="C68" s="44"/>
      <c r="D68" s="44"/>
    </row>
    <row r="69" spans="1:4" x14ac:dyDescent="0.15">
      <c r="B69" s="44"/>
      <c r="C69" s="44"/>
      <c r="D69" s="44"/>
    </row>
    <row r="70" spans="1:4" x14ac:dyDescent="0.15">
      <c r="B70" s="44"/>
      <c r="C70" s="44"/>
      <c r="D70" s="44"/>
    </row>
    <row r="73" spans="1:4" x14ac:dyDescent="0.15">
      <c r="A73" s="27" t="s">
        <v>21</v>
      </c>
    </row>
    <row r="74" spans="1:4" ht="15" x14ac:dyDescent="0.2">
      <c r="A74" s="22" t="s">
        <v>28</v>
      </c>
    </row>
  </sheetData>
  <phoneticPr fontId="36" type="noConversion"/>
  <conditionalFormatting sqref="G24">
    <cfRule type="expression" dxfId="2" priority="3">
      <formula>B27=5230074</formula>
    </cfRule>
  </conditionalFormatting>
  <conditionalFormatting sqref="G25">
    <cfRule type="expression" dxfId="1" priority="2">
      <formula>C27=3303927.5</formula>
    </cfRule>
  </conditionalFormatting>
  <conditionalFormatting sqref="G26">
    <cfRule type="expression" dxfId="0" priority="1">
      <formula>D27=8534001.5</formula>
    </cfRule>
  </conditionalFormatting>
  <hyperlinks>
    <hyperlink ref="A74" r:id="rId1" xr:uid="{02CF8B8C-9748-4F31-89AA-D23EAFEB1B88}"/>
  </hyperlinks>
  <pageMargins left="0.7" right="0.7" top="0.75" bottom="0.75" header="0.3" footer="0.3"/>
  <pageSetup orientation="portrait" verticalDpi="0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E134"/>
  <sheetViews>
    <sheetView workbookViewId="0"/>
  </sheetViews>
  <sheetFormatPr baseColWidth="10" defaultColWidth="8.83203125" defaultRowHeight="15" x14ac:dyDescent="0.2"/>
  <cols>
    <col min="1" max="3" width="14.5" style="1" customWidth="1"/>
    <col min="4" max="4" width="32.1640625" style="1" customWidth="1"/>
  </cols>
  <sheetData>
    <row r="1" spans="1:5" x14ac:dyDescent="0.2">
      <c r="A1" s="4" t="s">
        <v>5</v>
      </c>
      <c r="E1" t="s">
        <v>62</v>
      </c>
    </row>
    <row r="2" spans="1:5" x14ac:dyDescent="0.2">
      <c r="A2" s="2" t="s">
        <v>9</v>
      </c>
      <c r="B2" s="2" t="s">
        <v>0</v>
      </c>
      <c r="C2" s="2" t="s">
        <v>4</v>
      </c>
      <c r="D2" s="2" t="s">
        <v>10</v>
      </c>
      <c r="E2" t="s">
        <v>122</v>
      </c>
    </row>
    <row r="3" spans="1:5" x14ac:dyDescent="0.2">
      <c r="A3" s="2" t="s">
        <v>123</v>
      </c>
      <c r="B3" s="2" t="s">
        <v>118</v>
      </c>
      <c r="C3" s="2" t="s">
        <v>119</v>
      </c>
      <c r="D3" s="80">
        <v>45679.855606481484</v>
      </c>
      <c r="E3" t="s">
        <v>121</v>
      </c>
    </row>
    <row r="4" spans="1:5" x14ac:dyDescent="0.2">
      <c r="A4" s="2"/>
      <c r="B4" s="2"/>
      <c r="C4" s="2"/>
      <c r="D4" s="80"/>
    </row>
    <row r="5" spans="1:5" x14ac:dyDescent="0.2">
      <c r="A5"/>
      <c r="B5"/>
      <c r="C5"/>
      <c r="D5" s="7"/>
      <c r="E5" t="s">
        <v>120</v>
      </c>
    </row>
    <row r="6" spans="1:5" x14ac:dyDescent="0.2">
      <c r="A6"/>
      <c r="B6"/>
      <c r="C6"/>
      <c r="D6" s="7"/>
    </row>
    <row r="7" spans="1:5" x14ac:dyDescent="0.2">
      <c r="A7"/>
      <c r="B7"/>
      <c r="C7"/>
      <c r="D7" s="7"/>
    </row>
    <row r="8" spans="1:5" x14ac:dyDescent="0.2">
      <c r="A8"/>
      <c r="B8"/>
      <c r="C8"/>
      <c r="D8" s="7"/>
    </row>
    <row r="9" spans="1:5" x14ac:dyDescent="0.2">
      <c r="A9"/>
      <c r="B9"/>
      <c r="C9"/>
      <c r="D9" s="7"/>
    </row>
    <row r="10" spans="1:5" x14ac:dyDescent="0.2">
      <c r="A10"/>
      <c r="B10"/>
      <c r="C10" s="7"/>
      <c r="D10"/>
    </row>
    <row r="11" spans="1:5" x14ac:dyDescent="0.2">
      <c r="A11"/>
      <c r="B11"/>
      <c r="C11" s="7"/>
      <c r="D11"/>
    </row>
    <row r="12" spans="1:5" x14ac:dyDescent="0.2">
      <c r="A12"/>
      <c r="B12"/>
      <c r="C12" s="7"/>
      <c r="D12"/>
    </row>
    <row r="13" spans="1:5" x14ac:dyDescent="0.2">
      <c r="A13"/>
      <c r="B13"/>
      <c r="C13" s="7"/>
      <c r="D13"/>
    </row>
    <row r="14" spans="1:5" x14ac:dyDescent="0.2">
      <c r="A14"/>
      <c r="B14"/>
      <c r="C14" s="7"/>
      <c r="D14"/>
    </row>
    <row r="15" spans="1:5" x14ac:dyDescent="0.2">
      <c r="A15"/>
      <c r="B15"/>
      <c r="C15" s="7"/>
      <c r="D15"/>
    </row>
    <row r="16" spans="1:5" x14ac:dyDescent="0.2">
      <c r="A16"/>
      <c r="B16"/>
      <c r="C16" s="7"/>
      <c r="D16"/>
    </row>
    <row r="17" spans="1:4" x14ac:dyDescent="0.2">
      <c r="A17"/>
      <c r="B17"/>
      <c r="C17" s="7"/>
      <c r="D17"/>
    </row>
    <row r="18" spans="1:4" x14ac:dyDescent="0.2">
      <c r="A18"/>
      <c r="B18"/>
      <c r="C18" s="7"/>
      <c r="D18"/>
    </row>
    <row r="19" spans="1:4" x14ac:dyDescent="0.2">
      <c r="A19"/>
      <c r="B19"/>
      <c r="C19" s="7"/>
      <c r="D19"/>
    </row>
    <row r="20" spans="1:4" x14ac:dyDescent="0.2">
      <c r="A20"/>
      <c r="B20"/>
      <c r="C20" s="7"/>
      <c r="D20"/>
    </row>
    <row r="21" spans="1:4" x14ac:dyDescent="0.2">
      <c r="C21" s="5"/>
    </row>
    <row r="22" spans="1:4" x14ac:dyDescent="0.2">
      <c r="C22" s="5"/>
    </row>
    <row r="23" spans="1:4" x14ac:dyDescent="0.2">
      <c r="A23" s="2"/>
      <c r="B23" s="2"/>
      <c r="C23" s="3"/>
      <c r="D23" s="2"/>
    </row>
    <row r="24" spans="1:4" x14ac:dyDescent="0.2">
      <c r="A24" s="2"/>
      <c r="B24" s="2"/>
      <c r="C24" s="3"/>
      <c r="D24" s="2"/>
    </row>
    <row r="25" spans="1:4" x14ac:dyDescent="0.2">
      <c r="A25" s="2"/>
      <c r="B25" s="2"/>
      <c r="C25" s="3"/>
      <c r="D25" s="2"/>
    </row>
    <row r="26" spans="1:4" x14ac:dyDescent="0.2">
      <c r="C26" s="5"/>
    </row>
    <row r="27" spans="1:4" x14ac:dyDescent="0.2">
      <c r="A27" s="2"/>
      <c r="B27" s="2"/>
      <c r="C27" s="3"/>
      <c r="D27" s="2"/>
    </row>
    <row r="28" spans="1:4" x14ac:dyDescent="0.2">
      <c r="A28" s="2"/>
      <c r="B28" s="2"/>
      <c r="C28" s="3"/>
      <c r="D28" s="2"/>
    </row>
    <row r="29" spans="1:4" x14ac:dyDescent="0.2">
      <c r="A29" s="2"/>
      <c r="B29" s="2"/>
      <c r="C29" s="3"/>
      <c r="D29" s="2"/>
    </row>
    <row r="30" spans="1:4" x14ac:dyDescent="0.2">
      <c r="A30" s="2"/>
      <c r="B30" s="2"/>
      <c r="C30" s="3"/>
      <c r="D30" s="2"/>
    </row>
    <row r="31" spans="1:4" x14ac:dyDescent="0.2">
      <c r="A31" s="2"/>
      <c r="B31" s="2"/>
      <c r="C31" s="3"/>
      <c r="D31" s="2"/>
    </row>
    <row r="32" spans="1:4" x14ac:dyDescent="0.2">
      <c r="A32" s="2"/>
      <c r="B32" s="2"/>
      <c r="C32" s="3"/>
      <c r="D32" s="2"/>
    </row>
    <row r="33" spans="1:4" x14ac:dyDescent="0.2">
      <c r="A33" s="2"/>
      <c r="B33" s="2"/>
      <c r="C33" s="3"/>
      <c r="D33" s="2"/>
    </row>
    <row r="34" spans="1:4" x14ac:dyDescent="0.2">
      <c r="A34" s="2"/>
      <c r="B34" s="2"/>
      <c r="C34" s="3"/>
      <c r="D34" s="2"/>
    </row>
    <row r="35" spans="1:4" x14ac:dyDescent="0.2">
      <c r="A35" s="2"/>
      <c r="B35" s="2"/>
      <c r="C35" s="3"/>
      <c r="D35" s="2"/>
    </row>
    <row r="36" spans="1:4" x14ac:dyDescent="0.2">
      <c r="A36" s="2"/>
      <c r="B36" s="2"/>
      <c r="C36" s="3"/>
      <c r="D36" s="2"/>
    </row>
    <row r="37" spans="1:4" x14ac:dyDescent="0.2">
      <c r="A37" s="2"/>
      <c r="B37" s="2"/>
      <c r="C37" s="3"/>
      <c r="D37" s="2"/>
    </row>
    <row r="38" spans="1:4" x14ac:dyDescent="0.2">
      <c r="A38" s="2"/>
      <c r="B38" s="2"/>
      <c r="C38" s="3"/>
      <c r="D38" s="2"/>
    </row>
    <row r="39" spans="1:4" x14ac:dyDescent="0.2">
      <c r="A39" s="2"/>
      <c r="B39" s="2"/>
      <c r="C39" s="3"/>
      <c r="D39" s="2"/>
    </row>
    <row r="40" spans="1:4" x14ac:dyDescent="0.2">
      <c r="A40" s="2"/>
      <c r="B40" s="2"/>
      <c r="C40" s="3"/>
      <c r="D40" s="2"/>
    </row>
    <row r="41" spans="1:4" x14ac:dyDescent="0.2">
      <c r="A41" s="2"/>
      <c r="B41" s="2"/>
      <c r="C41" s="3"/>
      <c r="D41" s="2"/>
    </row>
    <row r="42" spans="1:4" x14ac:dyDescent="0.2">
      <c r="A42" s="2"/>
      <c r="B42" s="2"/>
      <c r="C42" s="3"/>
      <c r="D42" s="2"/>
    </row>
    <row r="43" spans="1:4" x14ac:dyDescent="0.2">
      <c r="A43" s="2"/>
      <c r="B43" s="2"/>
      <c r="C43" s="3"/>
      <c r="D43" s="2"/>
    </row>
    <row r="44" spans="1:4" x14ac:dyDescent="0.2">
      <c r="A44" s="2"/>
      <c r="B44" s="2"/>
      <c r="C44" s="3"/>
      <c r="D44" s="2"/>
    </row>
    <row r="45" spans="1:4" x14ac:dyDescent="0.2">
      <c r="A45" s="2"/>
      <c r="B45" s="2"/>
      <c r="C45" s="3"/>
      <c r="D45" s="2"/>
    </row>
    <row r="46" spans="1:4" x14ac:dyDescent="0.2">
      <c r="A46" s="2"/>
      <c r="B46" s="2"/>
      <c r="C46" s="3"/>
      <c r="D46" s="2"/>
    </row>
    <row r="47" spans="1:4" x14ac:dyDescent="0.2">
      <c r="A47" s="2"/>
      <c r="B47" s="2"/>
      <c r="C47" s="3"/>
      <c r="D47" s="2"/>
    </row>
    <row r="48" spans="1:4" x14ac:dyDescent="0.2">
      <c r="A48" s="2"/>
      <c r="B48" s="2"/>
      <c r="C48" s="3"/>
      <c r="D48" s="2"/>
    </row>
    <row r="49" spans="1:4" x14ac:dyDescent="0.2">
      <c r="A49" s="2"/>
      <c r="B49" s="2"/>
      <c r="C49" s="3"/>
      <c r="D49" s="2"/>
    </row>
    <row r="50" spans="1:4" x14ac:dyDescent="0.2">
      <c r="A50" s="2"/>
      <c r="B50" s="2"/>
      <c r="C50" s="3"/>
      <c r="D50" s="2"/>
    </row>
    <row r="51" spans="1:4" x14ac:dyDescent="0.2">
      <c r="A51" s="2"/>
      <c r="B51" s="2"/>
      <c r="C51" s="3"/>
      <c r="D51" s="2"/>
    </row>
    <row r="52" spans="1:4" x14ac:dyDescent="0.2">
      <c r="A52" s="2"/>
      <c r="B52" s="2"/>
      <c r="C52" s="3"/>
      <c r="D52" s="2"/>
    </row>
    <row r="53" spans="1:4" x14ac:dyDescent="0.2">
      <c r="A53" s="2"/>
      <c r="B53" s="2"/>
      <c r="C53" s="3"/>
      <c r="D53" s="2"/>
    </row>
    <row r="54" spans="1:4" x14ac:dyDescent="0.2">
      <c r="A54" s="2"/>
      <c r="B54" s="2"/>
      <c r="C54" s="3"/>
      <c r="D54" s="2"/>
    </row>
    <row r="55" spans="1:4" x14ac:dyDescent="0.2">
      <c r="A55" s="2"/>
      <c r="B55" s="2"/>
      <c r="C55" s="3"/>
      <c r="D55" s="2"/>
    </row>
    <row r="56" spans="1:4" x14ac:dyDescent="0.2">
      <c r="A56" s="2"/>
      <c r="B56" s="2"/>
      <c r="C56" s="3"/>
      <c r="D56" s="2"/>
    </row>
    <row r="57" spans="1:4" x14ac:dyDescent="0.2">
      <c r="A57" s="2"/>
      <c r="B57" s="2"/>
      <c r="C57" s="3"/>
      <c r="D57" s="2"/>
    </row>
    <row r="58" spans="1:4" x14ac:dyDescent="0.2">
      <c r="A58" s="2"/>
      <c r="B58" s="2"/>
      <c r="C58" s="3"/>
      <c r="D58" s="2"/>
    </row>
    <row r="59" spans="1:4" x14ac:dyDescent="0.2">
      <c r="A59" s="2"/>
      <c r="B59" s="2"/>
      <c r="C59" s="3"/>
      <c r="D59" s="2"/>
    </row>
    <row r="60" spans="1:4" x14ac:dyDescent="0.2">
      <c r="A60" s="2"/>
      <c r="B60" s="2"/>
      <c r="C60" s="3"/>
      <c r="D60" s="2"/>
    </row>
    <row r="61" spans="1:4" x14ac:dyDescent="0.2">
      <c r="A61" s="2"/>
      <c r="B61" s="2"/>
      <c r="C61" s="3"/>
      <c r="D61" s="2"/>
    </row>
    <row r="62" spans="1:4" x14ac:dyDescent="0.2">
      <c r="A62" s="2"/>
      <c r="B62" s="2"/>
      <c r="C62" s="3"/>
      <c r="D62" s="2"/>
    </row>
    <row r="63" spans="1:4" x14ac:dyDescent="0.2">
      <c r="A63" s="2"/>
      <c r="B63" s="2"/>
      <c r="C63" s="3"/>
      <c r="D63" s="2"/>
    </row>
    <row r="64" spans="1:4" x14ac:dyDescent="0.2">
      <c r="A64" s="2"/>
      <c r="B64" s="2"/>
      <c r="C64" s="3"/>
      <c r="D64" s="2"/>
    </row>
    <row r="65" spans="1:4" x14ac:dyDescent="0.2">
      <c r="A65" s="2"/>
      <c r="B65" s="2"/>
      <c r="C65" s="3"/>
      <c r="D65" s="2"/>
    </row>
    <row r="66" spans="1:4" x14ac:dyDescent="0.2">
      <c r="A66" s="2"/>
      <c r="B66" s="2"/>
      <c r="C66" s="3"/>
      <c r="D66" s="2"/>
    </row>
    <row r="67" spans="1:4" x14ac:dyDescent="0.2">
      <c r="A67" s="2"/>
      <c r="B67" s="2"/>
      <c r="C67" s="3"/>
      <c r="D67" s="2"/>
    </row>
    <row r="68" spans="1:4" x14ac:dyDescent="0.2">
      <c r="A68" s="2"/>
      <c r="B68" s="2"/>
      <c r="C68" s="3"/>
      <c r="D68" s="2"/>
    </row>
    <row r="69" spans="1:4" x14ac:dyDescent="0.2">
      <c r="A69" s="2"/>
      <c r="B69" s="2"/>
      <c r="C69" s="3"/>
      <c r="D69" s="2"/>
    </row>
    <row r="70" spans="1:4" x14ac:dyDescent="0.2">
      <c r="A70" s="2"/>
      <c r="B70" s="2"/>
      <c r="C70" s="3"/>
      <c r="D70" s="2"/>
    </row>
    <row r="71" spans="1:4" x14ac:dyDescent="0.2">
      <c r="A71" s="2"/>
      <c r="B71" s="3"/>
      <c r="C71" s="2"/>
      <c r="D71" s="2"/>
    </row>
    <row r="72" spans="1:4" x14ac:dyDescent="0.2">
      <c r="A72" s="2"/>
      <c r="B72" s="3"/>
      <c r="C72" s="2"/>
      <c r="D72" s="2"/>
    </row>
    <row r="73" spans="1:4" x14ac:dyDescent="0.2">
      <c r="A73" s="2"/>
      <c r="B73" s="3"/>
      <c r="C73" s="2"/>
      <c r="D73" s="2"/>
    </row>
    <row r="74" spans="1:4" x14ac:dyDescent="0.2">
      <c r="A74" s="2"/>
      <c r="B74" s="3"/>
      <c r="C74" s="2"/>
      <c r="D74" s="2"/>
    </row>
    <row r="75" spans="1:4" x14ac:dyDescent="0.2">
      <c r="A75" s="2"/>
      <c r="B75" s="3"/>
      <c r="C75" s="2"/>
      <c r="D75" s="2"/>
    </row>
    <row r="76" spans="1:4" x14ac:dyDescent="0.2">
      <c r="A76" s="2"/>
      <c r="B76" s="3"/>
      <c r="C76" s="2"/>
      <c r="D76" s="2"/>
    </row>
    <row r="77" spans="1:4" x14ac:dyDescent="0.2">
      <c r="A77" s="2"/>
      <c r="B77" s="3"/>
      <c r="C77" s="2"/>
      <c r="D77" s="2"/>
    </row>
    <row r="78" spans="1:4" x14ac:dyDescent="0.2">
      <c r="A78" s="2"/>
      <c r="B78" s="3"/>
      <c r="C78" s="2"/>
      <c r="D78" s="2"/>
    </row>
    <row r="79" spans="1:4" x14ac:dyDescent="0.2">
      <c r="A79" s="2"/>
      <c r="B79" s="3"/>
      <c r="C79" s="2"/>
      <c r="D79" s="2"/>
    </row>
    <row r="80" spans="1:4" x14ac:dyDescent="0.2">
      <c r="A80" s="2"/>
      <c r="B80" s="3"/>
      <c r="C80" s="2"/>
      <c r="D80" s="2"/>
    </row>
    <row r="81" spans="1:4" x14ac:dyDescent="0.2">
      <c r="A81" s="2"/>
      <c r="B81" s="3"/>
      <c r="C81" s="2"/>
      <c r="D81" s="2"/>
    </row>
    <row r="82" spans="1:4" x14ac:dyDescent="0.2">
      <c r="A82" s="2"/>
      <c r="B82" s="3"/>
      <c r="C82" s="2"/>
      <c r="D82" s="2"/>
    </row>
    <row r="83" spans="1:4" x14ac:dyDescent="0.2">
      <c r="A83" s="2"/>
      <c r="B83" s="3"/>
      <c r="C83" s="2"/>
      <c r="D83" s="2"/>
    </row>
    <row r="84" spans="1:4" x14ac:dyDescent="0.2">
      <c r="A84" s="2"/>
      <c r="B84" s="3"/>
      <c r="C84" s="2"/>
      <c r="D84" s="2"/>
    </row>
    <row r="85" spans="1:4" x14ac:dyDescent="0.2">
      <c r="A85" s="2"/>
      <c r="B85" s="3"/>
      <c r="C85" s="2"/>
      <c r="D85" s="2"/>
    </row>
    <row r="86" spans="1:4" x14ac:dyDescent="0.2">
      <c r="A86" s="2"/>
      <c r="B86" s="3"/>
      <c r="C86" s="2"/>
      <c r="D86" s="2"/>
    </row>
    <row r="87" spans="1:4" x14ac:dyDescent="0.2">
      <c r="A87" s="2"/>
      <c r="B87" s="3"/>
      <c r="C87" s="2"/>
      <c r="D87" s="2"/>
    </row>
    <row r="88" spans="1:4" x14ac:dyDescent="0.2">
      <c r="A88" s="2"/>
      <c r="B88" s="3"/>
      <c r="C88" s="2"/>
      <c r="D88" s="2"/>
    </row>
    <row r="89" spans="1:4" x14ac:dyDescent="0.2">
      <c r="A89" s="2"/>
      <c r="B89" s="3"/>
      <c r="C89" s="2"/>
      <c r="D89" s="2"/>
    </row>
    <row r="90" spans="1:4" x14ac:dyDescent="0.2">
      <c r="A90" s="2"/>
      <c r="B90" s="3"/>
      <c r="C90" s="2"/>
      <c r="D90" s="2"/>
    </row>
    <row r="91" spans="1:4" x14ac:dyDescent="0.2">
      <c r="A91" s="2"/>
      <c r="B91" s="3"/>
      <c r="C91" s="2"/>
      <c r="D91" s="2"/>
    </row>
    <row r="92" spans="1:4" x14ac:dyDescent="0.2">
      <c r="A92" s="2"/>
      <c r="B92" s="3"/>
      <c r="C92" s="2"/>
      <c r="D92" s="2"/>
    </row>
    <row r="93" spans="1:4" x14ac:dyDescent="0.2">
      <c r="B93" s="5"/>
    </row>
    <row r="94" spans="1:4" x14ac:dyDescent="0.2">
      <c r="B94" s="5"/>
    </row>
    <row r="95" spans="1:4" x14ac:dyDescent="0.2">
      <c r="B95" s="5"/>
    </row>
    <row r="96" spans="1:4" x14ac:dyDescent="0.2">
      <c r="B96" s="5"/>
    </row>
    <row r="97" spans="2:2" x14ac:dyDescent="0.2">
      <c r="B97" s="5"/>
    </row>
    <row r="98" spans="2:2" x14ac:dyDescent="0.2">
      <c r="B98" s="5"/>
    </row>
    <row r="99" spans="2:2" x14ac:dyDescent="0.2">
      <c r="B99" s="5"/>
    </row>
    <row r="100" spans="2:2" x14ac:dyDescent="0.2">
      <c r="B100" s="5"/>
    </row>
    <row r="101" spans="2:2" x14ac:dyDescent="0.2">
      <c r="B101" s="5"/>
    </row>
    <row r="103" spans="2:2" x14ac:dyDescent="0.2">
      <c r="B103" s="5"/>
    </row>
    <row r="104" spans="2:2" x14ac:dyDescent="0.2">
      <c r="B104" s="5"/>
    </row>
    <row r="105" spans="2:2" x14ac:dyDescent="0.2">
      <c r="B105" s="5"/>
    </row>
    <row r="107" spans="2:2" x14ac:dyDescent="0.2">
      <c r="B107" s="5"/>
    </row>
    <row r="108" spans="2:2" x14ac:dyDescent="0.2">
      <c r="B108" s="5"/>
    </row>
    <row r="109" spans="2:2" x14ac:dyDescent="0.2">
      <c r="B109" s="5"/>
    </row>
    <row r="110" spans="2:2" x14ac:dyDescent="0.2">
      <c r="B110" s="5"/>
    </row>
    <row r="111" spans="2:2" x14ac:dyDescent="0.2">
      <c r="B111" s="5"/>
    </row>
    <row r="112" spans="2:2" x14ac:dyDescent="0.2">
      <c r="B112" s="5"/>
    </row>
    <row r="113" spans="2:2" x14ac:dyDescent="0.2">
      <c r="B113" s="5"/>
    </row>
    <row r="114" spans="2:2" x14ac:dyDescent="0.2">
      <c r="B114" s="5"/>
    </row>
    <row r="115" spans="2:2" x14ac:dyDescent="0.2">
      <c r="B115" s="5"/>
    </row>
    <row r="116" spans="2:2" x14ac:dyDescent="0.2">
      <c r="B116" s="5"/>
    </row>
    <row r="117" spans="2:2" x14ac:dyDescent="0.2">
      <c r="B117" s="5"/>
    </row>
    <row r="120" spans="2:2" x14ac:dyDescent="0.2">
      <c r="B120" s="5"/>
    </row>
    <row r="121" spans="2:2" x14ac:dyDescent="0.2">
      <c r="B121" s="5"/>
    </row>
    <row r="122" spans="2:2" x14ac:dyDescent="0.2">
      <c r="B122" s="5"/>
    </row>
    <row r="123" spans="2:2" x14ac:dyDescent="0.2">
      <c r="B123" s="5"/>
    </row>
    <row r="124" spans="2:2" x14ac:dyDescent="0.2">
      <c r="B124" s="5"/>
    </row>
    <row r="125" spans="2:2" x14ac:dyDescent="0.2">
      <c r="B125" s="5"/>
    </row>
    <row r="126" spans="2:2" x14ac:dyDescent="0.2">
      <c r="B126" s="5"/>
    </row>
    <row r="127" spans="2:2" x14ac:dyDescent="0.2">
      <c r="B127" s="5"/>
    </row>
    <row r="128" spans="2:2" x14ac:dyDescent="0.2">
      <c r="B128" s="5"/>
    </row>
    <row r="129" spans="2:2" x14ac:dyDescent="0.2">
      <c r="B129" s="5"/>
    </row>
    <row r="130" spans="2:2" x14ac:dyDescent="0.2">
      <c r="B130" s="5"/>
    </row>
    <row r="131" spans="2:2" x14ac:dyDescent="0.2">
      <c r="B131" s="5"/>
    </row>
    <row r="132" spans="2:2" x14ac:dyDescent="0.2">
      <c r="B132" s="5"/>
    </row>
    <row r="134" spans="2:2" x14ac:dyDescent="0.2">
      <c r="B134" s="6"/>
    </row>
  </sheetData>
  <sheetProtection formatCells="0" formatColumns="0" formatRows="0" insertColumns="0" insertRows="0" selectLockedCells="1"/>
  <protectedRanges>
    <protectedRange sqref="D82:D97 A82:B97 A98:D1048576 A2:D81" name="Range1"/>
  </protectedRange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StartHere</vt:lpstr>
      <vt:lpstr>UPS</vt:lpstr>
      <vt:lpstr>CCTeam</vt:lpstr>
      <vt:lpstr>ScoreByWeek</vt:lpstr>
      <vt:lpstr>HomeDepot</vt:lpstr>
      <vt:lpstr>Circulation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Kurt Schmitz</dc:creator>
  <cp:keywords/>
  <dc:description/>
  <cp:lastModifiedBy>Amirat Otufale</cp:lastModifiedBy>
  <dcterms:created xsi:type="dcterms:W3CDTF">2017-10-26T20:43:12Z</dcterms:created>
  <dcterms:modified xsi:type="dcterms:W3CDTF">2025-04-07T00:19:43Z</dcterms:modified>
  <cp:category/>
</cp:coreProperties>
</file>