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Shared/CIS2010/"/>
    </mc:Choice>
  </mc:AlternateContent>
  <xr:revisionPtr revIDLastSave="0" documentId="8_{BCA55BC0-F224-074D-B4A1-D23231BE6822}" xr6:coauthVersionLast="47" xr6:coauthVersionMax="47" xr10:uidLastSave="{00000000-0000-0000-0000-000000000000}"/>
  <bookViews>
    <workbookView xWindow="0" yWindow="0" windowWidth="17080" windowHeight="18000" activeTab="3" xr2:uid="{00000000-000D-0000-FFFF-FFFF00000000}"/>
  </bookViews>
  <sheets>
    <sheet name="StartHere" sheetId="1" r:id="rId1"/>
    <sheet name="Crypto" sheetId="37" r:id="rId2"/>
    <sheet name="CCmeeting" sheetId="36" state="veryHidden" r:id="rId3"/>
    <sheet name="Luhn" sheetId="38" r:id="rId4"/>
    <sheet name="5.ID" sheetId="4" state="veryHidden" r:id="rId5"/>
    <sheet name="Sheet9" sheetId="33" state="hidden" r:id="rId6"/>
  </sheets>
  <definedNames>
    <definedName name="_xleta.FIND" hidden="1" xlm="1">#NAME?</definedName>
    <definedName name="_xleta.T" hidden="1" xlm="1">#NAME?</definedName>
  </definedNames>
  <calcPr calcId="191029"/>
  <fileRecoveryPr autoRecover="0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O9" i="38" l="1"/>
  <c r="M9" i="38"/>
  <c r="K9" i="38"/>
  <c r="I9" i="38"/>
  <c r="G9" i="38"/>
  <c r="E9" i="38"/>
  <c r="C9" i="38"/>
  <c r="B15" i="37"/>
  <c r="C6" i="38"/>
  <c r="C7" i="38" s="1"/>
  <c r="D6" i="38"/>
  <c r="D8" i="38" s="1"/>
  <c r="E6" i="38"/>
  <c r="E7" i="38" s="1"/>
  <c r="F6" i="38"/>
  <c r="F7" i="38" s="1"/>
  <c r="G6" i="38"/>
  <c r="G7" i="38" s="1"/>
  <c r="H6" i="38"/>
  <c r="H8" i="38" s="1"/>
  <c r="I6" i="38"/>
  <c r="I7" i="38" s="1"/>
  <c r="J6" i="38"/>
  <c r="J7" i="38" s="1"/>
  <c r="K6" i="38"/>
  <c r="K7" i="38" s="1"/>
  <c r="L6" i="38"/>
  <c r="L8" i="38" s="1"/>
  <c r="M6" i="38"/>
  <c r="M7" i="38" s="1"/>
  <c r="N6" i="38"/>
  <c r="N7" i="38" s="1"/>
  <c r="O6" i="38"/>
  <c r="O7" i="38" s="1"/>
  <c r="P6" i="38"/>
  <c r="P7" i="38" s="1"/>
  <c r="B6" i="38"/>
  <c r="B8" i="38" s="1"/>
  <c r="F10" i="37"/>
  <c r="F11" i="37" s="1"/>
  <c r="G10" i="37"/>
  <c r="G11" i="37" s="1"/>
  <c r="H10" i="37"/>
  <c r="H11" i="37" s="1"/>
  <c r="I10" i="37"/>
  <c r="I11" i="37" s="1"/>
  <c r="J10" i="37"/>
  <c r="J11" i="37" s="1"/>
  <c r="K10" i="37"/>
  <c r="K11" i="37" s="1"/>
  <c r="L10" i="37"/>
  <c r="L11" i="37" s="1"/>
  <c r="M10" i="37"/>
  <c r="M11" i="37" s="1"/>
  <c r="N10" i="37"/>
  <c r="N11" i="37" s="1"/>
  <c r="O10" i="37"/>
  <c r="O11" i="37" s="1"/>
  <c r="P10" i="37"/>
  <c r="P11" i="37" s="1"/>
  <c r="Q10" i="37"/>
  <c r="Q11" i="37" s="1"/>
  <c r="R10" i="37"/>
  <c r="R11" i="37" s="1"/>
  <c r="S10" i="37"/>
  <c r="S11" i="37" s="1"/>
  <c r="T10" i="37"/>
  <c r="T11" i="37" s="1"/>
  <c r="U10" i="37"/>
  <c r="U11" i="37" s="1"/>
  <c r="V10" i="37"/>
  <c r="V11" i="37" s="1"/>
  <c r="W10" i="37"/>
  <c r="W11" i="37" s="1"/>
  <c r="X10" i="37"/>
  <c r="X11" i="37" s="1"/>
  <c r="Y10" i="37"/>
  <c r="Y11" i="37" s="1"/>
  <c r="Z10" i="37"/>
  <c r="Z11" i="37" s="1"/>
  <c r="AA10" i="37"/>
  <c r="AA11" i="37" s="1"/>
  <c r="AB10" i="37"/>
  <c r="AB11" i="37" s="1"/>
  <c r="AC10" i="37"/>
  <c r="AC11" i="37" s="1"/>
  <c r="AD10" i="37"/>
  <c r="AD11" i="37" s="1"/>
  <c r="AE10" i="37"/>
  <c r="AE11" i="37" s="1"/>
  <c r="AF10" i="37"/>
  <c r="AF11" i="37" s="1"/>
  <c r="AG10" i="37"/>
  <c r="AG11" i="37" s="1"/>
  <c r="AH10" i="37"/>
  <c r="AH11" i="37" s="1"/>
  <c r="AI10" i="37"/>
  <c r="AI11" i="37" s="1"/>
  <c r="AJ10" i="37"/>
  <c r="AJ11" i="37" s="1"/>
  <c r="AK10" i="37"/>
  <c r="AK11" i="37" s="1"/>
  <c r="AL10" i="37"/>
  <c r="AL11" i="37" s="1"/>
  <c r="AM10" i="37"/>
  <c r="AM11" i="37" s="1"/>
  <c r="AN10" i="37"/>
  <c r="AN11" i="37" s="1"/>
  <c r="AO10" i="37"/>
  <c r="AO11" i="37" s="1"/>
  <c r="AP10" i="37"/>
  <c r="AP11" i="37" s="1"/>
  <c r="AQ10" i="37"/>
  <c r="AQ11" i="37" s="1"/>
  <c r="AR10" i="37"/>
  <c r="AR11" i="37" s="1"/>
  <c r="AS10" i="37"/>
  <c r="AS11" i="37" s="1"/>
  <c r="AT10" i="37"/>
  <c r="AT11" i="37" s="1"/>
  <c r="AU10" i="37"/>
  <c r="AU11" i="37" s="1"/>
  <c r="AV10" i="37"/>
  <c r="AV11" i="37" s="1"/>
  <c r="AW10" i="37"/>
  <c r="AW11" i="37" s="1"/>
  <c r="AX10" i="37"/>
  <c r="AX11" i="37" s="1"/>
  <c r="AY10" i="37"/>
  <c r="AY11" i="37" s="1"/>
  <c r="AZ10" i="37"/>
  <c r="AZ11" i="37" s="1"/>
  <c r="BA10" i="37"/>
  <c r="BA11" i="37" s="1"/>
  <c r="BB10" i="37"/>
  <c r="BB11" i="37" s="1"/>
  <c r="BC10" i="37"/>
  <c r="BC11" i="37" s="1"/>
  <c r="BD10" i="37"/>
  <c r="BD11" i="37" s="1"/>
  <c r="BE10" i="37"/>
  <c r="BE11" i="37" s="1"/>
  <c r="BF10" i="37"/>
  <c r="BF11" i="37" s="1"/>
  <c r="BG10" i="37"/>
  <c r="BG11" i="37" s="1"/>
  <c r="BH10" i="37"/>
  <c r="BH11" i="37" s="1"/>
  <c r="BI10" i="37"/>
  <c r="BI11" i="37" s="1"/>
  <c r="BJ10" i="37"/>
  <c r="BJ11" i="37" s="1"/>
  <c r="BK10" i="37"/>
  <c r="BK11" i="37" s="1"/>
  <c r="BL10" i="37"/>
  <c r="BL11" i="37" s="1"/>
  <c r="BM10" i="37"/>
  <c r="BM11" i="37" s="1"/>
  <c r="BN10" i="37"/>
  <c r="BN11" i="37" s="1"/>
  <c r="BO10" i="37"/>
  <c r="BO11" i="37" s="1"/>
  <c r="BP10" i="37"/>
  <c r="BP11" i="37" s="1"/>
  <c r="BQ10" i="37"/>
  <c r="BQ11" i="37" s="1"/>
  <c r="BR10" i="37"/>
  <c r="BR11" i="37" s="1"/>
  <c r="BS10" i="37"/>
  <c r="BS11" i="37" s="1"/>
  <c r="BT10" i="37"/>
  <c r="BT11" i="37" s="1"/>
  <c r="BU10" i="37"/>
  <c r="BU11" i="37" s="1"/>
  <c r="BV10" i="37"/>
  <c r="BV11" i="37" s="1"/>
  <c r="BW10" i="37"/>
  <c r="BW11" i="37" s="1"/>
  <c r="BX10" i="37"/>
  <c r="BX11" i="37" s="1"/>
  <c r="BY10" i="37"/>
  <c r="BY11" i="37" s="1"/>
  <c r="BZ10" i="37"/>
  <c r="BZ11" i="37" s="1"/>
  <c r="CA10" i="37"/>
  <c r="CA11" i="37" s="1"/>
  <c r="CB10" i="37"/>
  <c r="CB11" i="37" s="1"/>
  <c r="CC10" i="37"/>
  <c r="CC11" i="37" s="1"/>
  <c r="CD10" i="37"/>
  <c r="CD11" i="37" s="1"/>
  <c r="CE10" i="37"/>
  <c r="CE11" i="37" s="1"/>
  <c r="CF10" i="37"/>
  <c r="CF11" i="37" s="1"/>
  <c r="CG10" i="37"/>
  <c r="CG11" i="37" s="1"/>
  <c r="CH10" i="37"/>
  <c r="CH11" i="37" s="1"/>
  <c r="CI10" i="37"/>
  <c r="CI11" i="37" s="1"/>
  <c r="CJ10" i="37"/>
  <c r="CJ11" i="37" s="1"/>
  <c r="CK10" i="37"/>
  <c r="CK11" i="37" s="1"/>
  <c r="CL10" i="37"/>
  <c r="CL11" i="37" s="1"/>
  <c r="CM10" i="37"/>
  <c r="CM11" i="37" s="1"/>
  <c r="CN10" i="37"/>
  <c r="CN11" i="37" s="1"/>
  <c r="CO10" i="37"/>
  <c r="CO11" i="37" s="1"/>
  <c r="CP10" i="37"/>
  <c r="CP11" i="37" s="1"/>
  <c r="CQ10" i="37"/>
  <c r="CQ11" i="37" s="1"/>
  <c r="CR10" i="37"/>
  <c r="CR11" i="37" s="1"/>
  <c r="CS10" i="37"/>
  <c r="CS11" i="37" s="1"/>
  <c r="CT10" i="37"/>
  <c r="CT11" i="37" s="1"/>
  <c r="CU10" i="37"/>
  <c r="CU11" i="37" s="1"/>
  <c r="CV10" i="37"/>
  <c r="CV11" i="37" s="1"/>
  <c r="CW10" i="37"/>
  <c r="CW11" i="37" s="1"/>
  <c r="CX10" i="37"/>
  <c r="CX11" i="37" s="1"/>
  <c r="CY10" i="37"/>
  <c r="CY11" i="37" s="1"/>
  <c r="CZ10" i="37"/>
  <c r="CZ11" i="37" s="1"/>
  <c r="DA10" i="37"/>
  <c r="DA11" i="37" s="1"/>
  <c r="DB10" i="37"/>
  <c r="DB11" i="37" s="1"/>
  <c r="DC10" i="37"/>
  <c r="DC11" i="37" s="1"/>
  <c r="DD10" i="37"/>
  <c r="DD11" i="37" s="1"/>
  <c r="DE10" i="37"/>
  <c r="DE11" i="37" s="1"/>
  <c r="DF10" i="37"/>
  <c r="DF11" i="37" s="1"/>
  <c r="DG10" i="37"/>
  <c r="DG11" i="37" s="1"/>
  <c r="DH10" i="37"/>
  <c r="DH11" i="37" s="1"/>
  <c r="DI10" i="37"/>
  <c r="DI11" i="37" s="1"/>
  <c r="DJ10" i="37"/>
  <c r="DJ11" i="37" s="1"/>
  <c r="DK10" i="37"/>
  <c r="DK11" i="37" s="1"/>
  <c r="DL10" i="37"/>
  <c r="DL11" i="37" s="1"/>
  <c r="DM10" i="37"/>
  <c r="DM11" i="37" s="1"/>
  <c r="DN10" i="37"/>
  <c r="DN11" i="37" s="1"/>
  <c r="DO10" i="37"/>
  <c r="DO11" i="37" s="1"/>
  <c r="DP10" i="37"/>
  <c r="DP11" i="37" s="1"/>
  <c r="DQ10" i="37"/>
  <c r="DQ11" i="37" s="1"/>
  <c r="DR10" i="37"/>
  <c r="DR11" i="37" s="1"/>
  <c r="DS10" i="37"/>
  <c r="DS11" i="37" s="1"/>
  <c r="DT10" i="37"/>
  <c r="DT11" i="37" s="1"/>
  <c r="DU10" i="37"/>
  <c r="DU11" i="37" s="1"/>
  <c r="DV10" i="37"/>
  <c r="DV11" i="37" s="1"/>
  <c r="DW10" i="37"/>
  <c r="DW11" i="37" s="1"/>
  <c r="DX10" i="37"/>
  <c r="DX11" i="37" s="1"/>
  <c r="DY10" i="37"/>
  <c r="DY11" i="37" s="1"/>
  <c r="DZ10" i="37"/>
  <c r="DZ11" i="37" s="1"/>
  <c r="EA10" i="37"/>
  <c r="EA11" i="37" s="1"/>
  <c r="EB10" i="37"/>
  <c r="EB11" i="37" s="1"/>
  <c r="EC10" i="37"/>
  <c r="EC11" i="37" s="1"/>
  <c r="ED10" i="37"/>
  <c r="ED11" i="37" s="1"/>
  <c r="EE10" i="37"/>
  <c r="EE11" i="37" s="1"/>
  <c r="EF10" i="37"/>
  <c r="EF11" i="37" s="1"/>
  <c r="EG10" i="37"/>
  <c r="EG11" i="37" s="1"/>
  <c r="EH10" i="37"/>
  <c r="EH11" i="37" s="1"/>
  <c r="EI10" i="37"/>
  <c r="EI11" i="37" s="1"/>
  <c r="EJ10" i="37"/>
  <c r="EJ11" i="37" s="1"/>
  <c r="EK10" i="37"/>
  <c r="EK11" i="37" s="1"/>
  <c r="C10" i="37"/>
  <c r="C11" i="37" s="1"/>
  <c r="D10" i="37"/>
  <c r="D11" i="37" s="1"/>
  <c r="E10" i="37"/>
  <c r="E11" i="37" s="1"/>
  <c r="B10" i="37"/>
  <c r="B11" i="37" s="1"/>
  <c r="B4" i="37"/>
  <c r="E4" i="37" s="1"/>
  <c r="E2" i="37"/>
  <c r="E1" i="37"/>
  <c r="C14" i="1"/>
  <c r="C13" i="1"/>
  <c r="R4" i="38"/>
  <c r="R3" i="38"/>
  <c r="B7" i="38" l="1"/>
  <c r="P8" i="38"/>
  <c r="J8" i="38"/>
  <c r="L7" i="38"/>
  <c r="H7" i="38"/>
  <c r="D7" i="38"/>
  <c r="F8" i="38"/>
  <c r="N8" i="38"/>
  <c r="B3" i="37"/>
  <c r="B5" i="37" s="1"/>
  <c r="E5" i="37" s="1"/>
  <c r="B2" i="37"/>
  <c r="S8" i="38" l="1"/>
  <c r="S9" i="38" s="1"/>
  <c r="Q5" i="38" s="1"/>
  <c r="B6" i="37"/>
  <c r="A1" i="36"/>
  <c r="B12" i="37" l="1"/>
  <c r="DI12" i="37"/>
  <c r="CO12" i="37"/>
  <c r="BY12" i="37"/>
  <c r="BI12" i="37"/>
  <c r="AS12" i="37"/>
  <c r="AC12" i="37"/>
  <c r="M12" i="37"/>
  <c r="EF12" i="37"/>
  <c r="DP12" i="37"/>
  <c r="CZ12" i="37"/>
  <c r="CJ12" i="37"/>
  <c r="BT12" i="37"/>
  <c r="BD12" i="37"/>
  <c r="AN12" i="37"/>
  <c r="X12" i="37"/>
  <c r="H12" i="37"/>
  <c r="DM12" i="37"/>
  <c r="EE12" i="37"/>
  <c r="DO12" i="37"/>
  <c r="CY12" i="37"/>
  <c r="CI12" i="37"/>
  <c r="BS12" i="37"/>
  <c r="BC12" i="37"/>
  <c r="AM12" i="37"/>
  <c r="W12" i="37"/>
  <c r="G12" i="37"/>
  <c r="DZ12" i="37"/>
  <c r="DJ12" i="37"/>
  <c r="CT12" i="37"/>
  <c r="CD12" i="37"/>
  <c r="BN12" i="37"/>
  <c r="AX12" i="37"/>
  <c r="AH12" i="37"/>
  <c r="R12" i="37"/>
  <c r="DX12" i="37"/>
  <c r="CR12" i="37"/>
  <c r="BL12" i="37"/>
  <c r="AF12" i="37"/>
  <c r="EC12" i="37"/>
  <c r="DW12" i="37"/>
  <c r="CQ12" i="37"/>
  <c r="BK12" i="37"/>
  <c r="AE12" i="37"/>
  <c r="EH12" i="37"/>
  <c r="DB12" i="37"/>
  <c r="BV12" i="37"/>
  <c r="AP12" i="37"/>
  <c r="CS12" i="37"/>
  <c r="CC12" i="37"/>
  <c r="AW12" i="37"/>
  <c r="Q12" i="37"/>
  <c r="DT12" i="37"/>
  <c r="CN12" i="37"/>
  <c r="BH12" i="37"/>
  <c r="AB12" i="37"/>
  <c r="DU12" i="37"/>
  <c r="DS12" i="37"/>
  <c r="CM12" i="37"/>
  <c r="BG12" i="37"/>
  <c r="AA12" i="37"/>
  <c r="ED12" i="37"/>
  <c r="CX12" i="37"/>
  <c r="BR12" i="37"/>
  <c r="AL12" i="37"/>
  <c r="F12" i="37"/>
  <c r="EG12" i="37"/>
  <c r="DA12" i="37"/>
  <c r="CK12" i="37"/>
  <c r="BU12" i="37"/>
  <c r="BE12" i="37"/>
  <c r="AO12" i="37"/>
  <c r="Y12" i="37"/>
  <c r="I12" i="37"/>
  <c r="EB12" i="37"/>
  <c r="DL12" i="37"/>
  <c r="CV12" i="37"/>
  <c r="CF12" i="37"/>
  <c r="BP12" i="37"/>
  <c r="AZ12" i="37"/>
  <c r="AJ12" i="37"/>
  <c r="T12" i="37"/>
  <c r="EK12" i="37"/>
  <c r="DE12" i="37"/>
  <c r="EA12" i="37"/>
  <c r="DK12" i="37"/>
  <c r="CU12" i="37"/>
  <c r="CE12" i="37"/>
  <c r="BO12" i="37"/>
  <c r="AY12" i="37"/>
  <c r="AI12" i="37"/>
  <c r="S12" i="37"/>
  <c r="C12" i="37"/>
  <c r="DV12" i="37"/>
  <c r="DF12" i="37"/>
  <c r="CP12" i="37"/>
  <c r="BZ12" i="37"/>
  <c r="BJ12" i="37"/>
  <c r="AT12" i="37"/>
  <c r="AD12" i="37"/>
  <c r="N12" i="37"/>
  <c r="DY12" i="37"/>
  <c r="CW12" i="37"/>
  <c r="CG12" i="37"/>
  <c r="BQ12" i="37"/>
  <c r="BA12" i="37"/>
  <c r="AK12" i="37"/>
  <c r="U12" i="37"/>
  <c r="E12" i="37"/>
  <c r="DH12" i="37"/>
  <c r="CB12" i="37"/>
  <c r="AV12" i="37"/>
  <c r="P12" i="37"/>
  <c r="D12" i="37"/>
  <c r="DG12" i="37"/>
  <c r="CA12" i="37"/>
  <c r="AU12" i="37"/>
  <c r="O12" i="37"/>
  <c r="DR12" i="37"/>
  <c r="CL12" i="37"/>
  <c r="BF12" i="37"/>
  <c r="Z12" i="37"/>
  <c r="DQ12" i="37"/>
  <c r="BM12" i="37"/>
  <c r="AG12" i="37"/>
  <c r="EJ12" i="37"/>
  <c r="DD12" i="37"/>
  <c r="BX12" i="37"/>
  <c r="AR12" i="37"/>
  <c r="L12" i="37"/>
  <c r="EI12" i="37"/>
  <c r="DC12" i="37"/>
  <c r="BW12" i="37"/>
  <c r="AQ12" i="37"/>
  <c r="K12" i="37"/>
  <c r="DN12" i="37"/>
  <c r="CH12" i="37"/>
  <c r="BB12" i="37"/>
  <c r="V12" i="37"/>
  <c r="J12" i="37"/>
  <c r="C18" i="1"/>
  <c r="C16" i="1" s="1"/>
  <c r="C17" i="1"/>
  <c r="B14" i="37" l="1"/>
  <c r="D15" i="37" s="1"/>
  <c r="B13" i="37"/>
  <c r="C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KurtSchmitz</author>
  </authors>
  <commentList>
    <comment ref="B22" authorId="0" shapeId="0" xr:uid="{248A986D-E979-442A-97D4-BD8C7A2DF8E5}">
      <text>
        <r>
          <rPr>
            <sz val="9"/>
            <color rgb="FF000000"/>
            <rFont val="Tahoma"/>
            <family val="2"/>
          </rPr>
          <t>http://www.georgia.org/industries/information-technology/</t>
        </r>
      </text>
    </comment>
    <comment ref="B23" authorId="0" shapeId="0" xr:uid="{83B02099-1CA8-41A8-86C5-6ADC6F36644C}">
      <text>
        <r>
          <rPr>
            <sz val="9"/>
            <color rgb="FF000000"/>
            <rFont val="Tahoma"/>
            <family val="2"/>
          </rPr>
          <t>http://time.com/money/4079001/bachelors-degrees-highest-starting-salary-2015/</t>
        </r>
      </text>
    </comment>
  </commentList>
</comments>
</file>

<file path=xl/sharedStrings.xml><?xml version="1.0" encoding="utf-8"?>
<sst xmlns="http://schemas.openxmlformats.org/spreadsheetml/2006/main" count="161" uniqueCount="124">
  <si>
    <t>Name</t>
  </si>
  <si>
    <t>Date/time</t>
  </si>
  <si>
    <t xml:space="preserve"> &lt;&lt;- enter your name here</t>
  </si>
  <si>
    <t xml:space="preserve"> &lt;&lt;- enter your Student ID here</t>
  </si>
  <si>
    <t>Panther ID</t>
  </si>
  <si>
    <t>Do Not Alter or Delete this Worksheet or you submission cannot be graded!</t>
  </si>
  <si>
    <t>(2)</t>
  </si>
  <si>
    <t xml:space="preserve"> assignment folder to receive credit for this workshop/tutorial</t>
  </si>
  <si>
    <t>(3)</t>
  </si>
  <si>
    <t>(4)</t>
  </si>
  <si>
    <t>Action</t>
  </si>
  <si>
    <t>Date/Time</t>
  </si>
  <si>
    <t>Starter Sheet</t>
  </si>
  <si>
    <t>None</t>
  </si>
  <si>
    <t>Never use a file created or started by another student (that is academic dishonesty).
All text, codes, writing, data entry, formulas, configuration and instructions must be performed by the individual submitting the work.</t>
  </si>
  <si>
    <t>Collaboration Started</t>
  </si>
  <si>
    <t>Student ID</t>
  </si>
  <si>
    <t>(1)</t>
  </si>
  <si>
    <t>Excel release</t>
  </si>
  <si>
    <t>OS</t>
  </si>
  <si>
    <t xml:space="preserve">Change the file name to include your name. </t>
  </si>
  <si>
    <t>Upload the file to the applicable iCollege</t>
  </si>
  <si>
    <r>
      <t xml:space="preserve">Add your name to </t>
    </r>
    <r>
      <rPr>
        <i/>
        <sz val="11"/>
        <color theme="5" tint="-0.499984740745262"/>
        <rFont val="Calibri"/>
        <family val="2"/>
        <scheme val="minor"/>
      </rPr>
      <t>Cell C4</t>
    </r>
    <r>
      <rPr>
        <sz val="11"/>
        <color theme="1"/>
        <rFont val="Calibri"/>
        <family val="2"/>
        <scheme val="minor"/>
      </rPr>
      <t xml:space="preserve"> and your Student ID to cell C6. Then  Click [Start Here] to finish loading data.</t>
    </r>
  </si>
  <si>
    <t>You must use Excel Desktop. Cloud Excel 365 will not work for this class.</t>
  </si>
  <si>
    <t>Here</t>
  </si>
  <si>
    <t>Replace the Screenshot in the cell below with an image from your computer showing participants by name and date/time</t>
  </si>
  <si>
    <t>Windows Screen capture</t>
  </si>
  <si>
    <t>Shift-Window-S</t>
  </si>
  <si>
    <t>Macontosh Screen capture</t>
  </si>
  <si>
    <t>Shift-Command-5</t>
  </si>
  <si>
    <t>Alphabet</t>
  </si>
  <si>
    <t>abcdefghijklmnopqrstuvwxyz</t>
  </si>
  <si>
    <t xml:space="preserve">Space +ClearAlphabet </t>
  </si>
  <si>
    <t>Length</t>
  </si>
  <si>
    <t>right substring</t>
  </si>
  <si>
    <t>left substring</t>
  </si>
  <si>
    <t>Space +CypherAlphabet</t>
  </si>
  <si>
    <t>Clear Text</t>
  </si>
  <si>
    <t>hello world</t>
  </si>
  <si>
    <t>cleartext position</t>
  </si>
  <si>
    <t>Cleartext characters</t>
  </si>
  <si>
    <t>alphabet location</t>
  </si>
  <si>
    <t>Partial cyphertext</t>
  </si>
  <si>
    <t>Cyphertext</t>
  </si>
  <si>
    <t>message 1</t>
  </si>
  <si>
    <t xml:space="preserve">uryyb jbeyq                                                                                                                                 </t>
  </si>
  <si>
    <t>message 2</t>
  </si>
  <si>
    <t>message 3</t>
  </si>
  <si>
    <t xml:space="preserve">ngynagn unf gur frpbaq zbfg fubccvat pragre fcnpr va gur havgrq fgngrf                                                                      </t>
  </si>
  <si>
    <t>message 4 (6)</t>
  </si>
  <si>
    <t>message 5 (4)</t>
  </si>
  <si>
    <t>message 7 (3)</t>
  </si>
  <si>
    <t>message 8 (3)</t>
  </si>
  <si>
    <t xml:space="preserve">vla ri wkh wrs whq sdblqj froohjh ghjuhhv lqyroyh frpsxwhuv dqg lqirupdwlrq whfkqrorjb                                                      </t>
  </si>
  <si>
    <t>message 9 (9)</t>
  </si>
  <si>
    <t xml:space="preserve">ydkurl tnh nwlahycrxw rb jw nbbnwcrju kdrumrwp kuxlt xo mrprcju brpwjcdanb jwm jdcqnwcrljcrxw jwm wxwanydmrjcrxw                            </t>
  </si>
  <si>
    <t>message 10 (9)</t>
  </si>
  <si>
    <t xml:space="preserve">jbhvvncarl tnhb jwm ydkurl tnhb jwm yarejcn tnhb jan juu lxwlnycb jbbxlrjcnm frcq ydkurl tnh nwlahycrxw                                     </t>
  </si>
  <si>
    <t>Luhn algorithm to generate Credit Card Check Digits</t>
  </si>
  <si>
    <t>Credit Card Number</t>
  </si>
  <si>
    <t>double</t>
  </si>
  <si>
    <t>total</t>
  </si>
  <si>
    <t>odd digits</t>
  </si>
  <si>
    <t>Check Digit</t>
  </si>
  <si>
    <t>An explanation of the Luhn algorithm to calculate check digits is available on Wikipedia: https://en.wikipedia.org/wiki/Luhn_algorithm</t>
  </si>
  <si>
    <t>Note:</t>
  </si>
  <si>
    <t>Step 1</t>
  </si>
  <si>
    <t>Step 2</t>
  </si>
  <si>
    <t>Luhn Algorithm</t>
  </si>
  <si>
    <t>Step 3</t>
  </si>
  <si>
    <t>Step 4</t>
  </si>
  <si>
    <t>Step 5</t>
  </si>
  <si>
    <t>Calculate the check digit by multiplying the total (cell S8) by 9 and finding the remainder of that value when divided by 10 (the MOD function calculates remainders)</t>
  </si>
  <si>
    <t>Step 6</t>
  </si>
  <si>
    <t>Alternate #s to check</t>
  </si>
  <si>
    <t>MasterCard 1</t>
  </si>
  <si>
    <t>DiscoverCard 2</t>
  </si>
  <si>
    <t>MasterCard 3</t>
  </si>
  <si>
    <t>VISA 4</t>
  </si>
  <si>
    <t>MasterCard 5</t>
  </si>
  <si>
    <t xml:space="preserve">  </t>
  </si>
  <si>
    <r>
      <t xml:space="preserve">The screenshot is worth points if it contains </t>
    </r>
    <r>
      <rPr>
        <i/>
        <sz val="11"/>
        <color rgb="FF0070C0"/>
        <rFont val="Calibri"/>
        <family val="2"/>
        <scheme val="minor"/>
      </rPr>
      <t>two or more students registered in this class</t>
    </r>
    <r>
      <rPr>
        <sz val="11"/>
        <color theme="1"/>
        <rFont val="Calibri"/>
        <family val="2"/>
        <scheme val="minor"/>
      </rPr>
      <t xml:space="preserve"> and contans a </t>
    </r>
    <r>
      <rPr>
        <sz val="11"/>
        <color rgb="FF0070C0"/>
        <rFont val="Calibri"/>
        <family val="2"/>
        <scheme val="minor"/>
      </rPr>
      <t>current date/timestamp</t>
    </r>
    <r>
      <rPr>
        <sz val="11"/>
        <color theme="1"/>
        <rFont val="Calibri"/>
        <family val="2"/>
        <scheme val="minor"/>
      </rPr>
      <t xml:space="preserve"> for any of the days associated with the scheduled session.
You can open the participant list in MS Teams by clicking on the </t>
    </r>
    <r>
      <rPr>
        <b/>
        <sz val="11"/>
        <color theme="1"/>
        <rFont val="Calibri"/>
        <family val="2"/>
        <scheme val="minor"/>
      </rPr>
      <t xml:space="preserve">Show Participants </t>
    </r>
    <r>
      <rPr>
        <sz val="11"/>
        <color theme="1"/>
        <rFont val="Calibri"/>
        <family val="2"/>
        <scheme val="minor"/>
      </rPr>
      <t xml:space="preserve">button (see image to the left).
Expose the </t>
    </r>
    <r>
      <rPr>
        <b/>
        <sz val="11"/>
        <color theme="1"/>
        <rFont val="Calibri"/>
        <family val="2"/>
        <scheme val="minor"/>
      </rPr>
      <t xml:space="preserve">date/time on a Mac </t>
    </r>
    <r>
      <rPr>
        <sz val="11"/>
        <color theme="1"/>
        <rFont val="Calibri"/>
        <family val="2"/>
        <scheme val="minor"/>
      </rPr>
      <t xml:space="preserve">by hovering on the Apple menu at the top of the screen.
Expose the </t>
    </r>
    <r>
      <rPr>
        <b/>
        <sz val="11"/>
        <color theme="1"/>
        <rFont val="Calibri"/>
        <family val="2"/>
        <scheme val="minor"/>
      </rPr>
      <t xml:space="preserve">date/time on a Windows </t>
    </r>
    <r>
      <rPr>
        <sz val="11"/>
        <color theme="1"/>
        <rFont val="Calibri"/>
        <family val="2"/>
        <scheme val="minor"/>
      </rPr>
      <t>computer by hovering on the taskbar at the bottom of the screen.</t>
    </r>
  </si>
  <si>
    <t>Save, close and exit Excel before attempting to submit your work to iCollege</t>
  </si>
  <si>
    <t>(5)</t>
  </si>
  <si>
    <t>greater than 9?</t>
  </si>
  <si>
    <t>even digits (root values)</t>
  </si>
  <si>
    <t>position</t>
  </si>
  <si>
    <t>Cyphertext letters</t>
  </si>
  <si>
    <t>odd/even labels</t>
  </si>
  <si>
    <t xml:space="preserve">vsfmrwsr gsppiki sj fywmriww mw xli pevkiwx fywmriww wglssp mr xli wsyxl erh wmbxl pevkiwx mr xli yrmxih wxexiw  </t>
  </si>
  <si>
    <t>tkzlrod gtj inorr</t>
  </si>
  <si>
    <t>jhrujld lv wkh iliwk odujhvw lqirupdwlrq whfkqrorjb hpsorbphqw foxvwhu lq wkh xqlwhg vwdwhv</t>
  </si>
  <si>
    <t xml:space="preserve"> </t>
  </si>
  <si>
    <t>The check digit is NOT part of the account number!</t>
  </si>
  <si>
    <r>
      <t>Double each digit from row 5, placing the calculated value</t>
    </r>
    <r>
      <rPr>
        <b/>
        <sz val="11"/>
        <color theme="1"/>
        <rFont val="Calibri"/>
        <family val="2"/>
        <scheme val="minor"/>
      </rPr>
      <t xml:space="preserve"> into row 6</t>
    </r>
    <r>
      <rPr>
        <sz val="11"/>
        <color theme="1"/>
        <rFont val="Calibri"/>
        <family val="2"/>
        <scheme val="minor"/>
      </rPr>
      <t xml:space="preserve"> (stay in the same column as the original number). Do this with a formula that multiplies the original cell value by 2.</t>
    </r>
  </si>
  <si>
    <r>
      <t xml:space="preserve">Determine if the value when doubled (the value calculated in row 6) is greater than 9. Add an =IF() function </t>
    </r>
    <r>
      <rPr>
        <b/>
        <sz val="11"/>
        <color theme="1"/>
        <rFont val="Calibri"/>
        <family val="2"/>
        <scheme val="minor"/>
      </rPr>
      <t xml:space="preserve">into row 7 </t>
    </r>
    <r>
      <rPr>
        <sz val="11"/>
        <color theme="1"/>
        <rFont val="Calibri"/>
        <family val="2"/>
        <scheme val="minor"/>
      </rPr>
      <t>to place the value TRUE (if greater than 9), or FALSE (if 9 or less).</t>
    </r>
  </si>
  <si>
    <r>
      <t>For even digits (as counted in row 5: columns B,D, F,H,J,L,N and P) if the value in row 7 is FALSE, place the digit from row 6</t>
    </r>
    <r>
      <rPr>
        <b/>
        <sz val="11"/>
        <color theme="1"/>
        <rFont val="Calibri"/>
        <family val="2"/>
        <scheme val="minor"/>
      </rPr>
      <t xml:space="preserve"> into row 8</t>
    </r>
    <r>
      <rPr>
        <sz val="11"/>
        <color theme="1"/>
        <rFont val="Calibri"/>
        <family val="2"/>
        <scheme val="minor"/>
      </rPr>
      <t xml:space="preserve">. If the value is row 7 is TRUE, then subtract 9 from the value in row 6 and place that digit </t>
    </r>
    <r>
      <rPr>
        <b/>
        <sz val="11"/>
        <color theme="1"/>
        <rFont val="Calibri"/>
        <family val="2"/>
        <scheme val="minor"/>
      </rPr>
      <t>into row 8</t>
    </r>
    <r>
      <rPr>
        <sz val="11"/>
        <color theme="1"/>
        <rFont val="Calibri"/>
        <family val="2"/>
        <scheme val="minor"/>
      </rPr>
      <t xml:space="preserve">. The =IF() function should be used for this. </t>
    </r>
    <r>
      <rPr>
        <i/>
        <sz val="11"/>
        <color theme="1"/>
        <rFont val="Calibri"/>
        <family val="2"/>
        <scheme val="minor"/>
      </rPr>
      <t>Leave the odd digit cells (the orange cells) empty in row 8.</t>
    </r>
  </si>
  <si>
    <r>
      <t xml:space="preserve">For odd digits (as counted in row 5: colums C,E,G,I,K,M and O) place the original value from row 5 </t>
    </r>
    <r>
      <rPr>
        <b/>
        <sz val="11"/>
        <color theme="1"/>
        <rFont val="Calibri"/>
        <family val="2"/>
        <scheme val="minor"/>
      </rPr>
      <t>into row 9</t>
    </r>
    <r>
      <rPr>
        <sz val="11"/>
        <color theme="1"/>
        <rFont val="Calibri"/>
        <family val="2"/>
        <scheme val="minor"/>
      </rPr>
      <t xml:space="preserve">. Do this with a formula that simply references the original cell. </t>
    </r>
    <r>
      <rPr>
        <i/>
        <sz val="11"/>
        <color theme="1"/>
        <rFont val="Calibri"/>
        <family val="2"/>
        <scheme val="minor"/>
      </rPr>
      <t>Leave the even digits (the black cells) empty in row 9.</t>
    </r>
  </si>
  <si>
    <r>
      <t xml:space="preserve">Sum the digits in positions B8:P9. Use the SUM function and place the result </t>
    </r>
    <r>
      <rPr>
        <b/>
        <sz val="11"/>
        <color theme="1"/>
        <rFont val="Calibri"/>
        <family val="2"/>
        <scheme val="minor"/>
      </rPr>
      <t>into cell S8</t>
    </r>
  </si>
  <si>
    <r>
      <t xml:space="preserve">Calculate the Check digit </t>
    </r>
    <r>
      <rPr>
        <b/>
        <sz val="11"/>
        <color theme="1"/>
        <rFont val="Calibri"/>
        <family val="2"/>
        <scheme val="minor"/>
      </rPr>
      <t>into cell S9</t>
    </r>
    <r>
      <rPr>
        <sz val="11"/>
        <color theme="1"/>
        <rFont val="Calibri"/>
        <family val="2"/>
        <scheme val="minor"/>
      </rPr>
      <t xml:space="preserve"> using the =MOD() function (the </t>
    </r>
    <r>
      <rPr>
        <i/>
        <sz val="11"/>
        <color theme="1"/>
        <rFont val="Calibri"/>
        <family val="2"/>
        <scheme val="minor"/>
      </rPr>
      <t>number</t>
    </r>
    <r>
      <rPr>
        <sz val="11"/>
        <color theme="1"/>
        <rFont val="Calibri"/>
        <family val="2"/>
        <scheme val="minor"/>
      </rPr>
      <t xml:space="preserve"> is S8 multiplied by 9, and the </t>
    </r>
    <r>
      <rPr>
        <i/>
        <sz val="11"/>
        <color theme="1"/>
        <rFont val="Calibri"/>
        <family val="2"/>
        <scheme val="minor"/>
      </rPr>
      <t xml:space="preserve">divisor </t>
    </r>
    <r>
      <rPr>
        <sz val="11"/>
        <color theme="1"/>
        <rFont val="Calibri"/>
        <family val="2"/>
        <scheme val="minor"/>
      </rPr>
      <t>is 10 ).</t>
    </r>
  </si>
  <si>
    <t>orange cells should be empty!</t>
  </si>
  <si>
    <t>message 6 (5)</t>
  </si>
  <si>
    <t>ymjwj nx fqbfdx qnlmy  nk tsqd bj fwj gwfaj jstzlm yt xjj ny  nk tsqd bj fwj gwfaj jstzlm yt gj ny</t>
  </si>
  <si>
    <t>length B1</t>
  </si>
  <si>
    <t>length B2</t>
  </si>
  <si>
    <t>B4 locn of "hi"</t>
  </si>
  <si>
    <t>B5 locn of "hi"</t>
  </si>
  <si>
    <t>Credit Card Numbers are 15 digits long. Positions of the digits are identified right to left (the digit positions identified in row 4). The rightmost digit (column Q) is a "check" digit that can be calulated from the other digits.</t>
  </si>
  <si>
    <r>
      <t xml:space="preserve">Student Identification Sheet </t>
    </r>
    <r>
      <rPr>
        <sz val="11"/>
        <color theme="0" tint="-0.14999847407452621"/>
        <rFont val="Calibri"/>
        <family val="2"/>
        <scheme val="minor"/>
      </rPr>
      <t>(version8.0)</t>
    </r>
  </si>
  <si>
    <t>message 11 (?)</t>
  </si>
  <si>
    <t>message 12 (?)</t>
  </si>
  <si>
    <t xml:space="preserve">op dbq uijt dmbtt ibt b gfx bvsb qpjout mfe cz b cvttjo tjhnb                                                                               </t>
  </si>
  <si>
    <t xml:space="preserve">z rkv kyv tyrccvexv crjk nvvb slk kyzj zj kff jrckp                                                                                         </t>
  </si>
  <si>
    <t>Spring 2025</t>
  </si>
  <si>
    <t>Kike Otufale</t>
  </si>
  <si>
    <t>002699858</t>
  </si>
  <si>
    <t>DirVer</t>
  </si>
  <si>
    <t>Welcome to Microsoft Excel version 16.93 build 119 running on Macintosh (Intel) Version 13.7.1 (Build 22H221)!</t>
  </si>
  <si>
    <t>Microsoft Office User</t>
  </si>
  <si>
    <t>S05</t>
  </si>
  <si>
    <t>Start S05</t>
  </si>
  <si>
    <t>Kike Otufale started S05</t>
  </si>
  <si>
    <t>odd</t>
  </si>
  <si>
    <t>even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</si>
</sst>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[$-409]m/d/yy\ h:mm\ AM/PM;@"/>
    <numFmt numFmtId="165" formatCode="mmm\-dd\ hh:mm"/>
    <numFmt numFmtId="166" formatCode="dd\-mmm\ hh:mm"/>
    <numFmt numFmtId="167" formatCode="dd\-mmm\-yyyy\ hh:mm"/>
  </numFmts>
  <fonts count="4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i/>
      <sz val="11"/>
      <color rgb="FFC000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i/>
      <sz val="11"/>
      <color theme="5" tint="-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i/>
      <sz val="11"/>
      <color rgb="FF0070C0"/>
      <name val="Calibri"/>
      <family val="2"/>
      <scheme val="minor"/>
    </font>
    <font>
      <sz val="11"/>
      <color theme="1"/>
      <name val="Bell MT"/>
      <family val="1"/>
    </font>
    <font>
      <sz val="14"/>
      <color theme="1"/>
      <name val="Century Schoolbook"/>
      <family val="1"/>
    </font>
    <font>
      <b/>
      <sz val="11"/>
      <color theme="9" tint="-0.499984740745262"/>
      <name val="Calibri"/>
      <family val="2"/>
      <scheme val="minor"/>
    </font>
    <font>
      <i/>
      <sz val="9"/>
      <color theme="1"/>
      <name val="Calibri"/>
      <family val="2"/>
      <scheme val="minor"/>
    </font>
    <font>
      <i/>
      <sz val="10"/>
      <color theme="9" tint="-0.249977111117893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11"/>
      <color theme="9"/>
      <name val="Calibri"/>
      <family val="2"/>
      <scheme val="minor"/>
    </font>
    <font>
      <i/>
      <sz val="11"/>
      <color theme="0" tint="-0.249977111117893"/>
      <name val="Calibri"/>
      <family val="2"/>
      <scheme val="minor"/>
    </font>
    <font>
      <sz val="22"/>
      <color rgb="FF0070C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4"/>
      <name val="Calibri"/>
      <family val="2"/>
      <scheme val="minor"/>
    </font>
    <font>
      <i/>
      <sz val="11"/>
      <color theme="8"/>
      <name val="Calibri"/>
      <family val="2"/>
      <scheme val="minor"/>
    </font>
    <font>
      <sz val="11"/>
      <color theme="5"/>
      <name val="Calibri"/>
      <family val="2"/>
      <scheme val="minor"/>
    </font>
    <font>
      <sz val="11"/>
      <color theme="9"/>
      <name val="Calibri"/>
      <family val="2"/>
      <scheme val="minor"/>
    </font>
    <font>
      <i/>
      <sz val="11"/>
      <color theme="0"/>
      <name val="Calibri"/>
      <family val="2"/>
      <scheme val="minor"/>
    </font>
    <font>
      <i/>
      <sz val="11"/>
      <color theme="5" tint="-0.249977111117893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92D050"/>
      <name val="Calibri"/>
      <family val="2"/>
      <scheme val="minor"/>
    </font>
    <font>
      <sz val="12"/>
      <color rgb="FF000000"/>
      <name val="System Font"/>
      <charset val="1"/>
    </font>
    <font>
      <sz val="11"/>
      <color theme="9" tint="-0.249977111117893"/>
      <name val="Calibri"/>
      <family val="2"/>
      <scheme val="minor"/>
    </font>
    <font>
      <sz val="9"/>
      <color rgb="FF000000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E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94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</cellStyleXfs>
  <cellXfs count="114">
    <xf numFmtId="0" fontId="0" fillId="0" borderId="0" xfId="0"/>
    <xf numFmtId="0" fontId="1" fillId="0" borderId="0" xfId="0" applyFont="1"/>
    <xf numFmtId="0" fontId="2" fillId="0" borderId="0" xfId="0" applyFont="1"/>
    <xf numFmtId="165" fontId="2" fillId="0" borderId="0" xfId="0" applyNumberFormat="1" applyFont="1"/>
    <xf numFmtId="0" fontId="5" fillId="0" borderId="0" xfId="0" applyFont="1"/>
    <xf numFmtId="165" fontId="1" fillId="0" borderId="0" xfId="0" applyNumberFormat="1" applyFont="1"/>
    <xf numFmtId="164" fontId="1" fillId="0" borderId="0" xfId="0" applyNumberFormat="1" applyFont="1"/>
    <xf numFmtId="165" fontId="0" fillId="0" borderId="0" xfId="0" applyNumberFormat="1"/>
    <xf numFmtId="0" fontId="11" fillId="0" borderId="0" xfId="0" applyFont="1"/>
    <xf numFmtId="0" fontId="0" fillId="0" borderId="0" xfId="0" quotePrefix="1" applyAlignment="1">
      <alignment horizontal="right" vertical="center"/>
    </xf>
    <xf numFmtId="0" fontId="0" fillId="0" borderId="0" xfId="0" applyAlignment="1">
      <alignment vertical="center"/>
    </xf>
    <xf numFmtId="0" fontId="0" fillId="0" borderId="0" xfId="0" quotePrefix="1" applyAlignment="1">
      <alignment horizontal="center" vertical="center"/>
    </xf>
    <xf numFmtId="0" fontId="14" fillId="0" borderId="0" xfId="0" applyFont="1" applyAlignment="1">
      <alignment vertical="center"/>
    </xf>
    <xf numFmtId="0" fontId="9" fillId="0" borderId="0" xfId="0" quotePrefix="1" applyFont="1" applyAlignment="1">
      <alignment horizontal="center" vertical="center"/>
    </xf>
    <xf numFmtId="0" fontId="9" fillId="0" borderId="0" xfId="0" applyFont="1" applyAlignment="1">
      <alignment vertical="center" wrapText="1"/>
    </xf>
    <xf numFmtId="0" fontId="15" fillId="0" borderId="0" xfId="0" applyFont="1"/>
    <xf numFmtId="0" fontId="16" fillId="0" borderId="0" xfId="0" applyFont="1"/>
    <xf numFmtId="0" fontId="17" fillId="0" borderId="0" xfId="0" applyFont="1"/>
    <xf numFmtId="166" fontId="0" fillId="0" borderId="0" xfId="0" applyNumberFormat="1" applyAlignment="1">
      <alignment horizontal="left"/>
    </xf>
    <xf numFmtId="0" fontId="0" fillId="0" borderId="0" xfId="0" applyAlignment="1">
      <alignment horizontal="right"/>
    </xf>
    <xf numFmtId="165" fontId="0" fillId="0" borderId="0" xfId="0" applyNumberFormat="1" applyAlignment="1">
      <alignment horizontal="left"/>
    </xf>
    <xf numFmtId="0" fontId="12" fillId="0" borderId="0" xfId="0" applyFont="1"/>
    <xf numFmtId="0" fontId="13" fillId="0" borderId="0" xfId="0" applyFont="1"/>
    <xf numFmtId="165" fontId="4" fillId="0" borderId="0" xfId="0" applyNumberFormat="1" applyFont="1" applyAlignment="1">
      <alignment horizontal="left"/>
    </xf>
    <xf numFmtId="164" fontId="2" fillId="0" borderId="0" xfId="0" applyNumberFormat="1" applyFont="1"/>
    <xf numFmtId="0" fontId="3" fillId="0" borderId="0" xfId="0" applyFont="1"/>
    <xf numFmtId="164" fontId="0" fillId="2" borderId="1" xfId="0" applyNumberFormat="1" applyFill="1" applyBorder="1"/>
    <xf numFmtId="0" fontId="0" fillId="0" borderId="0" xfId="0" applyProtection="1">
      <protection locked="0"/>
    </xf>
    <xf numFmtId="0" fontId="2" fillId="0" borderId="0" xfId="0" applyFont="1" applyProtection="1">
      <protection locked="0"/>
    </xf>
    <xf numFmtId="0" fontId="1" fillId="0" borderId="0" xfId="0" applyFont="1" applyProtection="1">
      <protection locked="0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 wrapText="1"/>
    </xf>
    <xf numFmtId="0" fontId="23" fillId="0" borderId="0" xfId="0" applyFont="1" applyAlignment="1">
      <alignment vertical="center"/>
    </xf>
    <xf numFmtId="0" fontId="24" fillId="0" borderId="0" xfId="0" applyFont="1" applyAlignment="1">
      <alignment vertical="center"/>
    </xf>
    <xf numFmtId="0" fontId="22" fillId="0" borderId="1" xfId="0" applyFont="1" applyBorder="1" applyAlignment="1">
      <alignment horizontal="center" vertical="center"/>
    </xf>
    <xf numFmtId="0" fontId="25" fillId="0" borderId="0" xfId="0" applyFont="1"/>
    <xf numFmtId="0" fontId="26" fillId="0" borderId="0" xfId="0" applyFont="1" applyAlignment="1" applyProtection="1">
      <alignment horizontal="right"/>
      <protection locked="0"/>
    </xf>
    <xf numFmtId="0" fontId="0" fillId="4" borderId="0" xfId="0" applyFill="1" applyProtection="1">
      <protection locked="0"/>
    </xf>
    <xf numFmtId="0" fontId="27" fillId="0" borderId="0" xfId="0" applyFont="1" applyProtection="1">
      <protection locked="0"/>
    </xf>
    <xf numFmtId="0" fontId="21" fillId="0" borderId="0" xfId="0" applyFont="1" applyProtection="1">
      <protection locked="0"/>
    </xf>
    <xf numFmtId="0" fontId="0" fillId="6" borderId="0" xfId="0" applyFill="1" applyProtection="1">
      <protection locked="0"/>
    </xf>
    <xf numFmtId="0" fontId="28" fillId="0" borderId="0" xfId="0" applyFont="1" applyAlignment="1" applyProtection="1">
      <alignment horizontal="right"/>
      <protection locked="0"/>
    </xf>
    <xf numFmtId="0" fontId="11" fillId="0" borderId="0" xfId="0" applyFont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29" fillId="0" borderId="0" xfId="0" applyFont="1"/>
    <xf numFmtId="0" fontId="0" fillId="0" borderId="0" xfId="0" applyAlignment="1" applyProtection="1">
      <alignment horizontal="right"/>
      <protection locked="0"/>
    </xf>
    <xf numFmtId="0" fontId="0" fillId="5" borderId="6" xfId="0" applyFill="1" applyBorder="1" applyAlignment="1" applyProtection="1">
      <alignment horizontal="center"/>
      <protection locked="0"/>
    </xf>
    <xf numFmtId="0" fontId="0" fillId="7" borderId="6" xfId="0" applyFill="1" applyBorder="1" applyAlignment="1" applyProtection="1">
      <alignment horizontal="center"/>
      <protection locked="0"/>
    </xf>
    <xf numFmtId="0" fontId="32" fillId="0" borderId="0" xfId="0" applyFont="1"/>
    <xf numFmtId="0" fontId="32" fillId="0" borderId="0" xfId="0" applyFont="1" applyAlignment="1">
      <alignment vertical="center"/>
    </xf>
    <xf numFmtId="0" fontId="0" fillId="5" borderId="0" xfId="0" applyFill="1" applyAlignment="1">
      <alignment vertical="center"/>
    </xf>
    <xf numFmtId="0" fontId="0" fillId="7" borderId="0" xfId="0" applyFill="1" applyAlignment="1">
      <alignment vertical="center"/>
    </xf>
    <xf numFmtId="0" fontId="33" fillId="0" borderId="0" xfId="0" applyFont="1"/>
    <xf numFmtId="0" fontId="32" fillId="0" borderId="0" xfId="0" applyFont="1" applyAlignment="1">
      <alignment horizontal="left" indent="1"/>
    </xf>
    <xf numFmtId="0" fontId="0" fillId="0" borderId="0" xfId="0" applyAlignment="1">
      <alignment horizontal="left" indent="1"/>
    </xf>
    <xf numFmtId="0" fontId="32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20" fillId="0" borderId="0" xfId="0" applyFont="1"/>
    <xf numFmtId="0" fontId="34" fillId="0" borderId="0" xfId="0" applyFont="1" applyProtection="1">
      <protection locked="0"/>
    </xf>
    <xf numFmtId="0" fontId="31" fillId="3" borderId="5" xfId="0" applyFont="1" applyFill="1" applyBorder="1" applyAlignment="1">
      <alignment horizontal="center" vertical="center"/>
    </xf>
    <xf numFmtId="0" fontId="0" fillId="8" borderId="0" xfId="0" applyFill="1" applyProtection="1">
      <protection locked="0"/>
    </xf>
    <xf numFmtId="0" fontId="21" fillId="0" borderId="0" xfId="0" applyFont="1" applyAlignment="1">
      <alignment vertical="center"/>
    </xf>
    <xf numFmtId="0" fontId="0" fillId="8" borderId="6" xfId="0" applyFill="1" applyBorder="1" applyAlignment="1" applyProtection="1">
      <alignment horizontal="center"/>
      <protection locked="0"/>
    </xf>
    <xf numFmtId="0" fontId="37" fillId="0" borderId="0" xfId="0" applyFont="1" applyProtection="1">
      <protection locked="0"/>
    </xf>
    <xf numFmtId="0" fontId="35" fillId="9" borderId="6" xfId="0" applyFont="1" applyFill="1" applyBorder="1" applyAlignment="1" applyProtection="1">
      <alignment horizontal="center"/>
      <protection locked="0"/>
    </xf>
    <xf numFmtId="0" fontId="36" fillId="9" borderId="6" xfId="0" applyFont="1" applyFill="1" applyBorder="1" applyAlignment="1" applyProtection="1">
      <alignment horizontal="center"/>
      <protection locked="0"/>
    </xf>
    <xf numFmtId="0" fontId="30" fillId="9" borderId="6" xfId="0" applyFont="1" applyFill="1" applyBorder="1" applyProtection="1">
      <protection locked="0"/>
    </xf>
    <xf numFmtId="0" fontId="35" fillId="9" borderId="7" xfId="0" applyFont="1" applyFill="1" applyBorder="1" applyAlignment="1" applyProtection="1">
      <alignment horizontal="center"/>
      <protection locked="0"/>
    </xf>
    <xf numFmtId="0" fontId="36" fillId="9" borderId="7" xfId="0" applyFont="1" applyFill="1" applyBorder="1" applyAlignment="1" applyProtection="1">
      <alignment horizontal="center"/>
      <protection locked="0"/>
    </xf>
    <xf numFmtId="0" fontId="30" fillId="9" borderId="7" xfId="0" applyFont="1" applyFill="1" applyBorder="1" applyProtection="1">
      <protection locked="0"/>
    </xf>
    <xf numFmtId="49" fontId="0" fillId="3" borderId="1" xfId="0" applyNumberFormat="1" applyFill="1" applyBorder="1"/>
    <xf numFmtId="0" fontId="2" fillId="0" borderId="0" xfId="0" applyFont="1" applyAlignment="1">
      <alignment horizontal="left"/>
    </xf>
    <xf numFmtId="0" fontId="1" fillId="0" borderId="0" xfId="0" applyFont="1" applyAlignment="1" applyProtection="1">
      <alignment horizontal="right"/>
      <protection locked="0"/>
    </xf>
    <xf numFmtId="0" fontId="0" fillId="11" borderId="6" xfId="0" applyFill="1" applyBorder="1" applyAlignment="1" applyProtection="1">
      <alignment horizontal="center"/>
      <protection locked="0"/>
    </xf>
    <xf numFmtId="0" fontId="4" fillId="10" borderId="0" xfId="0" applyFont="1" applyFill="1" applyAlignment="1">
      <alignment horizontal="center"/>
    </xf>
    <xf numFmtId="0" fontId="4" fillId="10" borderId="6" xfId="0" applyFont="1" applyFill="1" applyBorder="1" applyAlignment="1">
      <alignment horizontal="center"/>
    </xf>
    <xf numFmtId="0" fontId="4" fillId="10" borderId="0" xfId="0" applyFont="1" applyFill="1"/>
    <xf numFmtId="0" fontId="2" fillId="0" borderId="8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32" fillId="0" borderId="9" xfId="0" applyFont="1" applyBorder="1" applyAlignment="1">
      <alignment horizontal="center"/>
    </xf>
    <xf numFmtId="0" fontId="32" fillId="0" borderId="10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38" fillId="0" borderId="0" xfId="0" applyFont="1" applyProtection="1">
      <protection locked="0"/>
    </xf>
    <xf numFmtId="0" fontId="14" fillId="0" borderId="0" xfId="0" applyFont="1"/>
    <xf numFmtId="0" fontId="0" fillId="8" borderId="0" xfId="0" applyFill="1" applyAlignment="1">
      <alignment vertical="center"/>
    </xf>
    <xf numFmtId="0" fontId="3" fillId="0" borderId="0" xfId="0" applyFont="1" applyAlignment="1">
      <alignment horizontal="left"/>
    </xf>
    <xf numFmtId="0" fontId="32" fillId="0" borderId="11" xfId="0" applyFont="1" applyBorder="1" applyAlignment="1">
      <alignment horizontal="center"/>
    </xf>
    <xf numFmtId="0" fontId="39" fillId="0" borderId="0" xfId="0" applyFont="1"/>
    <xf numFmtId="0" fontId="40" fillId="0" borderId="0" xfId="0" applyFont="1" applyAlignment="1">
      <alignment horizontal="center" vertical="center"/>
    </xf>
    <xf numFmtId="167" fontId="2" fillId="0" borderId="0" xfId="0" applyNumberFormat="1" applyFont="1"/>
    <xf numFmtId="0" fontId="42" fillId="0" borderId="0" xfId="0" applyFont="1" applyProtection="1">
      <protection locked="0"/>
    </xf>
    <xf numFmtId="0" fontId="42" fillId="0" borderId="0" xfId="0" applyFont="1" applyAlignment="1" applyProtection="1">
      <alignment horizontal="center"/>
      <protection locked="0"/>
    </xf>
    <xf numFmtId="0" fontId="11" fillId="0" borderId="0" xfId="0" applyFont="1" applyAlignment="1" applyProtection="1">
      <alignment horizontal="center"/>
      <protection locked="0"/>
    </xf>
    <xf numFmtId="0" fontId="11" fillId="0" borderId="0" xfId="0" applyFont="1" applyAlignment="1" applyProtection="1">
      <alignment horizontal="left"/>
      <protection locked="0"/>
    </xf>
    <xf numFmtId="0" fontId="11" fillId="2" borderId="0" xfId="0" applyFont="1" applyFill="1" applyAlignment="1" applyProtection="1">
      <alignment horizontal="left"/>
      <protection locked="0"/>
    </xf>
    <xf numFmtId="0" fontId="11" fillId="0" borderId="0" xfId="0" applyFont="1" applyAlignment="1">
      <alignment horizontal="center" vertical="center" wrapText="1"/>
    </xf>
    <xf numFmtId="0" fontId="3" fillId="12" borderId="2" xfId="0" applyFont="1" applyFill="1" applyBorder="1" applyAlignment="1" applyProtection="1">
      <alignment horizontal="left"/>
      <protection locked="0"/>
    </xf>
    <xf numFmtId="0" fontId="3" fillId="12" borderId="3" xfId="0" applyFont="1" applyFill="1" applyBorder="1" applyAlignment="1" applyProtection="1">
      <alignment horizontal="left"/>
      <protection locked="0"/>
    </xf>
    <xf numFmtId="0" fontId="3" fillId="12" borderId="4" xfId="0" applyFont="1" applyFill="1" applyBorder="1" applyAlignment="1" applyProtection="1">
      <alignment horizontal="left"/>
      <protection locked="0"/>
    </xf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left"/>
    </xf>
    <xf numFmtId="0" fontId="11" fillId="3" borderId="2" xfId="0" applyFont="1" applyFill="1" applyBorder="1" applyAlignment="1" applyProtection="1">
      <alignment horizontal="left"/>
      <protection locked="0"/>
    </xf>
    <xf numFmtId="0" fontId="11" fillId="3" borderId="3" xfId="0" applyFont="1" applyFill="1" applyBorder="1" applyAlignment="1" applyProtection="1">
      <alignment horizontal="left"/>
      <protection locked="0"/>
    </xf>
    <xf numFmtId="0" fontId="11" fillId="3" borderId="4" xfId="0" applyFont="1" applyFill="1" applyBorder="1" applyAlignment="1" applyProtection="1">
      <alignment horizontal="left"/>
      <protection locked="0"/>
    </xf>
    <xf numFmtId="0" fontId="0" fillId="7" borderId="0" xfId="0" applyFill="1" applyAlignment="1">
      <alignment horizontal="left" indent="1"/>
    </xf>
    <xf numFmtId="0" fontId="32" fillId="0" borderId="0" xfId="0" applyFont="1" applyAlignment="1">
      <alignment horizontal="left" wrapText="1"/>
    </xf>
    <xf numFmtId="0" fontId="0" fillId="8" borderId="0" xfId="0" applyFill="1" applyAlignment="1">
      <alignment horizontal="left" wrapText="1" indent="1"/>
    </xf>
    <xf numFmtId="0" fontId="0" fillId="5" borderId="0" xfId="0" applyFill="1" applyAlignment="1">
      <alignment horizontal="left" wrapText="1" indent="1"/>
    </xf>
    <xf numFmtId="0" fontId="0" fillId="7" borderId="0" xfId="0" applyFill="1" applyAlignment="1">
      <alignment horizontal="left" wrapText="1" indent="1"/>
    </xf>
    <xf numFmtId="0" fontId="0" fillId="5" borderId="0" xfId="0" applyFill="1" applyAlignment="1">
      <alignment horizontal="left" indent="1"/>
    </xf>
  </cellXfs>
  <cellStyles count="94">
    <cellStyle name="Comma 2" xfId="92" xr:uid="{00000000-0005-0000-0000-000000000000}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Normal" xfId="0" builtinId="0"/>
    <cellStyle name="Normal 2" xfId="91" xr:uid="{00000000-0005-0000-0000-00005C000000}"/>
    <cellStyle name="Percent 2" xfId="93" xr:uid="{00000000-0005-0000-0000-00005D000000}"/>
  </cellStyles>
  <dxfs count="0"/>
  <tableStyles count="0" defaultTableStyle="TableStyleMedium2" defaultPivotStyle="PivotStyleLight16"/>
  <colors>
    <mruColors>
      <color rgb="FF00FFFF"/>
      <color rgb="FFFFFF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50800</xdr:colOff>
      <xdr:row>9</xdr:row>
      <xdr:rowOff>25400</xdr:rowOff>
    </xdr:from>
    <xdr:to>
      <xdr:col>2</xdr:col>
      <xdr:colOff>1758950</xdr:colOff>
      <xdr:row>9</xdr:row>
      <xdr:rowOff>292100</xdr:rowOff>
    </xdr:to>
    <xdr:sp macro="" textlink="">
      <xdr:nvSpPr>
        <xdr:cNvPr id="1025" name="CommandButton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11</xdr:row>
      <xdr:rowOff>12700</xdr:rowOff>
    </xdr:from>
    <xdr:to>
      <xdr:col>3</xdr:col>
      <xdr:colOff>0</xdr:colOff>
      <xdr:row>12</xdr:row>
      <xdr:rowOff>88900</xdr:rowOff>
    </xdr:to>
    <xdr:sp macro="" textlink="">
      <xdr:nvSpPr>
        <xdr:cNvPr id="1028" name="CommandButton3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13</xdr:row>
      <xdr:rowOff>25400</xdr:rowOff>
    </xdr:from>
    <xdr:to>
      <xdr:col>3</xdr:col>
      <xdr:colOff>3175</xdr:colOff>
      <xdr:row>14</xdr:row>
      <xdr:rowOff>122990</xdr:rowOff>
    </xdr:to>
    <xdr:sp macro="" textlink="">
      <xdr:nvSpPr>
        <xdr:cNvPr id="1030" name="CommandButton5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63500</xdr:colOff>
          <xdr:row>9</xdr:row>
          <xdr:rowOff>38100</xdr:rowOff>
        </xdr:from>
        <xdr:to>
          <xdr:col>2</xdr:col>
          <xdr:colOff>1968500</xdr:colOff>
          <xdr:row>10</xdr:row>
          <xdr:rowOff>292100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System Font"/>
                </a:rPr>
                <a:t>Start Here</a:t>
              </a:r>
            </a:p>
          </xdr:txBody>
        </xdr:sp>
        <xdr:clientData/>
      </xdr:twoCellAnchor>
    </mc:Choice>
    <mc:Fallback/>
  </mc:AlternateContent>
  <xdr:twoCellAnchor editAs="oneCell">
    <xdr:from>
      <xdr:col>2</xdr:col>
      <xdr:colOff>0</xdr:colOff>
      <xdr:row>13</xdr:row>
      <xdr:rowOff>25400</xdr:rowOff>
    </xdr:from>
    <xdr:to>
      <xdr:col>3</xdr:col>
      <xdr:colOff>3175</xdr:colOff>
      <xdr:row>14</xdr:row>
      <xdr:rowOff>122990</xdr:rowOff>
    </xdr:to>
    <xdr:sp macro="" textlink="">
      <xdr:nvSpPr>
        <xdr:cNvPr id="7" name="CommandButton5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 bwMode="auto">
        <a:xfrm>
          <a:off x="1752600" y="3416300"/>
          <a:ext cx="1765300" cy="292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11</xdr:row>
      <xdr:rowOff>12700</xdr:rowOff>
    </xdr:from>
    <xdr:to>
      <xdr:col>3</xdr:col>
      <xdr:colOff>7854</xdr:colOff>
      <xdr:row>12</xdr:row>
      <xdr:rowOff>3175</xdr:rowOff>
    </xdr:to>
    <xdr:sp macro="" textlink="">
      <xdr:nvSpPr>
        <xdr:cNvPr id="2" name="CommandButton3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 bwMode="auto">
        <a:xfrm>
          <a:off x="1752600" y="2794000"/>
          <a:ext cx="1769979" cy="266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158183</xdr:colOff>
      <xdr:row>1</xdr:row>
      <xdr:rowOff>1057275</xdr:rowOff>
    </xdr:from>
    <xdr:to>
      <xdr:col>1</xdr:col>
      <xdr:colOff>4125105</xdr:colOff>
      <xdr:row>1</xdr:row>
      <xdr:rowOff>2133600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1024"/>
        <a:stretch/>
      </xdr:blipFill>
      <xdr:spPr>
        <a:xfrm>
          <a:off x="1872683" y="1257300"/>
          <a:ext cx="3966922" cy="10763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1066800</xdr:colOff>
      <xdr:row>12</xdr:row>
      <xdr:rowOff>66675</xdr:rowOff>
    </xdr:from>
    <xdr:to>
      <xdr:col>0</xdr:col>
      <xdr:colOff>1295400</xdr:colOff>
      <xdr:row>18</xdr:row>
      <xdr:rowOff>171450</xdr:rowOff>
    </xdr:to>
    <xdr:sp macro="" textlink="">
      <xdr:nvSpPr>
        <xdr:cNvPr id="2" name="Left Brac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66800" y="2847975"/>
          <a:ext cx="228600" cy="2219325"/>
        </a:xfrm>
        <a:prstGeom prst="leftBrac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189386</xdr:colOff>
      <xdr:row>26</xdr:row>
      <xdr:rowOff>0</xdr:rowOff>
    </xdr:from>
    <xdr:to>
      <xdr:col>17</xdr:col>
      <xdr:colOff>0</xdr:colOff>
      <xdr:row>26</xdr:row>
      <xdr:rowOff>133006</xdr:rowOff>
    </xdr:to>
    <xdr:sp macro="" textlink="">
      <xdr:nvSpPr>
        <xdr:cNvPr id="3" name="Freeform: Shap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8104661" y="6419850"/>
          <a:ext cx="229714" cy="133006"/>
        </a:xfrm>
        <a:custGeom>
          <a:avLst/>
          <a:gdLst>
            <a:gd name="connsiteX0" fmla="*/ 229714 w 229714"/>
            <a:gd name="connsiteY0" fmla="*/ 114300 h 133006"/>
            <a:gd name="connsiteX1" fmla="*/ 20164 w 229714"/>
            <a:gd name="connsiteY1" fmla="*/ 123825 h 133006"/>
            <a:gd name="connsiteX2" fmla="*/ 20164 w 229714"/>
            <a:gd name="connsiteY2" fmla="*/ 0 h 13300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229714" h="133006">
              <a:moveTo>
                <a:pt x="229714" y="114300"/>
              </a:moveTo>
              <a:cubicBezTo>
                <a:pt x="142401" y="128587"/>
                <a:pt x="55089" y="142875"/>
                <a:pt x="20164" y="123825"/>
              </a:cubicBezTo>
              <a:cubicBezTo>
                <a:pt x="-14761" y="104775"/>
                <a:pt x="2701" y="52387"/>
                <a:pt x="20164" y="0"/>
              </a:cubicBezTo>
            </a:path>
          </a:pathLst>
        </a:custGeom>
        <a:noFill/>
        <a:ln w="12700">
          <a:solidFill>
            <a:schemeClr val="tx1">
              <a:lumMod val="65000"/>
              <a:lumOff val="35000"/>
            </a:schemeClr>
          </a:solidFill>
          <a:tailEnd type="stealth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19050</xdr:colOff>
      <xdr:row>6</xdr:row>
      <xdr:rowOff>9525</xdr:rowOff>
    </xdr:from>
    <xdr:to>
      <xdr:col>17</xdr:col>
      <xdr:colOff>533400</xdr:colOff>
      <xdr:row>7</xdr:row>
      <xdr:rowOff>180975</xdr:rowOff>
    </xdr:to>
    <xdr:sp macro="" textlink="">
      <xdr:nvSpPr>
        <xdr:cNvPr id="4" name="Freeform: Shap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8353425" y="1457325"/>
          <a:ext cx="514350" cy="361950"/>
        </a:xfrm>
        <a:custGeom>
          <a:avLst/>
          <a:gdLst>
            <a:gd name="connsiteX0" fmla="*/ 514350 w 514350"/>
            <a:gd name="connsiteY0" fmla="*/ 0 h 361950"/>
            <a:gd name="connsiteX1" fmla="*/ 409575 w 514350"/>
            <a:gd name="connsiteY1" fmla="*/ 238125 h 361950"/>
            <a:gd name="connsiteX2" fmla="*/ 0 w 514350"/>
            <a:gd name="connsiteY2" fmla="*/ 361950 h 36195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514350" h="361950">
              <a:moveTo>
                <a:pt x="514350" y="0"/>
              </a:moveTo>
              <a:cubicBezTo>
                <a:pt x="504825" y="88900"/>
                <a:pt x="495300" y="177800"/>
                <a:pt x="409575" y="238125"/>
              </a:cubicBezTo>
              <a:cubicBezTo>
                <a:pt x="323850" y="298450"/>
                <a:pt x="161925" y="330200"/>
                <a:pt x="0" y="361950"/>
              </a:cubicBezTo>
            </a:path>
          </a:pathLst>
        </a:custGeom>
        <a:noFill/>
        <a:ln w="12700">
          <a:solidFill>
            <a:schemeClr val="accent2">
              <a:lumMod val="75000"/>
            </a:schemeClr>
          </a:solidFill>
          <a:tailEnd type="stealt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N18"/>
  <sheetViews>
    <sheetView zoomScale="95" zoomScaleNormal="95" workbookViewId="0">
      <selection activeCell="C6" sqref="C6"/>
    </sheetView>
  </sheetViews>
  <sheetFormatPr baseColWidth="10" defaultColWidth="8.83203125" defaultRowHeight="15" x14ac:dyDescent="0.2"/>
  <cols>
    <col min="2" max="2" width="17.5" customWidth="1"/>
    <col min="3" max="3" width="26.5" customWidth="1"/>
    <col min="5" max="5" width="16.5" style="20" customWidth="1"/>
    <col min="7" max="7" width="8.83203125" style="19"/>
    <col min="8" max="8" width="110" customWidth="1"/>
    <col min="10" max="12" width="8.83203125" style="2"/>
    <col min="13" max="13" width="18.83203125" style="2" customWidth="1"/>
  </cols>
  <sheetData>
    <row r="1" spans="2:14" x14ac:dyDescent="0.2">
      <c r="G1" s="9"/>
      <c r="H1" s="10"/>
    </row>
    <row r="2" spans="2:14" x14ac:dyDescent="0.2">
      <c r="B2" t="s">
        <v>108</v>
      </c>
      <c r="E2" s="23"/>
      <c r="G2" s="9"/>
      <c r="H2" s="10"/>
      <c r="M2" s="3"/>
      <c r="N2" s="2"/>
    </row>
    <row r="3" spans="2:14" ht="16" thickBot="1" x14ac:dyDescent="0.25">
      <c r="G3" s="9"/>
      <c r="H3" s="10"/>
      <c r="M3" s="24"/>
      <c r="N3" s="2"/>
    </row>
    <row r="4" spans="2:14" ht="16" thickBot="1" x14ac:dyDescent="0.25">
      <c r="B4" t="s">
        <v>0</v>
      </c>
      <c r="C4" s="72" t="s">
        <v>114</v>
      </c>
      <c r="D4" s="25" t="s">
        <v>2</v>
      </c>
      <c r="G4" s="11" t="s">
        <v>17</v>
      </c>
      <c r="H4" s="10" t="s">
        <v>22</v>
      </c>
      <c r="M4" s="24"/>
    </row>
    <row r="5" spans="2:14" ht="16" thickBot="1" x14ac:dyDescent="0.25">
      <c r="G5" s="11" t="s">
        <v>6</v>
      </c>
      <c r="H5" s="10" t="s">
        <v>20</v>
      </c>
      <c r="M5" s="24"/>
    </row>
    <row r="6" spans="2:14" ht="16" thickBot="1" x14ac:dyDescent="0.25">
      <c r="B6" t="s">
        <v>16</v>
      </c>
      <c r="C6" s="72" t="s">
        <v>115</v>
      </c>
      <c r="D6" s="25" t="s">
        <v>3</v>
      </c>
      <c r="G6" s="11" t="s">
        <v>8</v>
      </c>
      <c r="H6" s="63" t="s">
        <v>82</v>
      </c>
      <c r="M6" s="24"/>
    </row>
    <row r="7" spans="2:14" ht="16" thickBot="1" x14ac:dyDescent="0.25">
      <c r="G7" s="11" t="s">
        <v>9</v>
      </c>
      <c r="H7" s="10" t="s">
        <v>21</v>
      </c>
      <c r="M7" s="24"/>
    </row>
    <row r="8" spans="2:14" ht="16" thickBot="1" x14ac:dyDescent="0.25">
      <c r="B8" t="s">
        <v>1</v>
      </c>
      <c r="C8" s="26">
        <f ca="1">NOW()</f>
        <v>45701.506987731482</v>
      </c>
      <c r="G8" s="11"/>
      <c r="H8" s="10" t="s">
        <v>7</v>
      </c>
    </row>
    <row r="9" spans="2:14" ht="46.5" customHeight="1" x14ac:dyDescent="0.2">
      <c r="C9" s="91" t="s">
        <v>113</v>
      </c>
      <c r="G9" s="13" t="s">
        <v>83</v>
      </c>
      <c r="H9" s="14" t="s">
        <v>14</v>
      </c>
    </row>
    <row r="10" spans="2:14" ht="24" customHeight="1" x14ac:dyDescent="0.2">
      <c r="C10" s="98" t="s">
        <v>23</v>
      </c>
      <c r="E10" s="18">
        <v>45699.401538310187</v>
      </c>
      <c r="F10" t="s">
        <v>121</v>
      </c>
    </row>
    <row r="11" spans="2:14" ht="24" customHeight="1" x14ac:dyDescent="0.2">
      <c r="C11" s="98"/>
      <c r="H11" s="12"/>
    </row>
    <row r="12" spans="2:14" ht="15" customHeight="1" x14ac:dyDescent="0.2">
      <c r="C12" s="29" t="s">
        <v>15</v>
      </c>
      <c r="E12" s="18"/>
    </row>
    <row r="13" spans="2:14" ht="15" customHeight="1" x14ac:dyDescent="0.2">
      <c r="C13" s="90" t="str">
        <f ca="1">IFERROR(INFO("Directory"),"Directory path unknown")</f>
        <v>/Users/Shared/CIS2010/</v>
      </c>
    </row>
    <row r="14" spans="2:14" ht="15" customHeight="1" x14ac:dyDescent="0.2">
      <c r="C14" t="str">
        <f ca="1">IFERROR(IF(INFO("system")="pcdos","Directory path should be C:\Users\Public\CIS2010","Directory path should be /Users/Shared/CIS2010"),"You must install and use Excel Desktop starting session 2")</f>
        <v>Directory path should be /Users/Shared/CIS2010</v>
      </c>
    </row>
    <row r="15" spans="2:14" ht="15" customHeight="1" x14ac:dyDescent="0.2"/>
    <row r="16" spans="2:14" x14ac:dyDescent="0.2">
      <c r="C16" s="35" t="str">
        <f ca="1">IFERROR(_xlfn.XLOOKUP("OS",B4:B19,C4:C19),"Upgrade to Excel 2021")</f>
        <v>Macintosh (Intel) Version 13.7.1 (Build 22H221)</v>
      </c>
    </row>
    <row r="17" spans="2:4" x14ac:dyDescent="0.2">
      <c r="B17" s="21" t="s">
        <v>18</v>
      </c>
      <c r="C17" s="21" t="str">
        <f ca="1">INFO("release")</f>
        <v>16.93</v>
      </c>
      <c r="D17" s="22"/>
    </row>
    <row r="18" spans="2:4" x14ac:dyDescent="0.2">
      <c r="B18" s="21" t="s">
        <v>19</v>
      </c>
      <c r="C18" s="21" t="str">
        <f ca="1">INFO("OSVERSION")</f>
        <v>Macintosh (Intel) Version 13.7.1 (Build 22H221)</v>
      </c>
      <c r="D18" s="21"/>
    </row>
  </sheetData>
  <sheetProtection algorithmName="SHA-512" hashValue="1LY9cI0PjufaJQWJUv7ZviXjn15uKRH8RykB72Jt+MDaUKzm4U80PZM68Z6S/4MT5JXCnom7IS1A+QbSmCqNcw==" saltValue="Ww1vk8jGKUd5R2TY7DM82g==" spinCount="100000" sheet="1" objects="1" scenarios="1"/>
  <mergeCells count="1">
    <mergeCell ref="C10:C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autoFill="0" autoPict="0" macro="[0]!StartWorkshop_Click">
                <anchor moveWithCells="1" sizeWithCells="1">
                  <from>
                    <xdr:col>2</xdr:col>
                    <xdr:colOff>63500</xdr:colOff>
                    <xdr:row>9</xdr:row>
                    <xdr:rowOff>38100</xdr:rowOff>
                  </from>
                  <to>
                    <xdr:col>2</xdr:col>
                    <xdr:colOff>1968500</xdr:colOff>
                    <xdr:row>10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AB9E0F-1209-4EFF-880C-FB35FEAAB706}">
  <sheetPr codeName="Sheet7">
    <tabColor rgb="FF00FFFF"/>
  </sheetPr>
  <dimension ref="A1:EK28"/>
  <sheetViews>
    <sheetView zoomScaleNormal="100" workbookViewId="0">
      <selection activeCell="B8" sqref="B8:Q8"/>
    </sheetView>
  </sheetViews>
  <sheetFormatPr baseColWidth="10" defaultColWidth="8.83203125" defaultRowHeight="15" x14ac:dyDescent="0.2"/>
  <cols>
    <col min="1" max="1" width="21.5" customWidth="1"/>
    <col min="2" max="2" width="16" customWidth="1"/>
    <col min="3" max="3" width="12.5" customWidth="1"/>
    <col min="4" max="4" width="16.33203125" customWidth="1"/>
    <col min="5" max="7" width="12.5" customWidth="1"/>
    <col min="8" max="23" width="4.83203125" customWidth="1"/>
    <col min="24" max="140" width="2.5" customWidth="1"/>
    <col min="141" max="141" width="23.83203125" customWidth="1"/>
  </cols>
  <sheetData>
    <row r="1" spans="1:141" s="27" customFormat="1" x14ac:dyDescent="0.2">
      <c r="A1" s="27" t="s">
        <v>30</v>
      </c>
      <c r="B1" s="27" t="s">
        <v>31</v>
      </c>
      <c r="D1" s="36" t="s">
        <v>103</v>
      </c>
      <c r="E1" s="37">
        <f>LEN(B1)</f>
        <v>26</v>
      </c>
      <c r="G1" s="38"/>
    </row>
    <row r="2" spans="1:141" s="27" customFormat="1" x14ac:dyDescent="0.2">
      <c r="A2" s="39" t="s">
        <v>32</v>
      </c>
      <c r="B2" s="39" t="str">
        <f>CONCATENATE(" ", B1)</f>
        <v xml:space="preserve"> abcdefghijklmnopqrstuvwxyz</v>
      </c>
      <c r="D2" s="36" t="s">
        <v>104</v>
      </c>
      <c r="E2" s="37">
        <f>LEN(B2)</f>
        <v>27</v>
      </c>
      <c r="G2" s="29"/>
    </row>
    <row r="3" spans="1:141" s="27" customFormat="1" x14ac:dyDescent="0.2">
      <c r="A3" s="27" t="s">
        <v>33</v>
      </c>
      <c r="B3">
        <f>LEN(B1)</f>
        <v>26</v>
      </c>
      <c r="C3" s="40">
        <v>9</v>
      </c>
      <c r="D3" s="29"/>
    </row>
    <row r="4" spans="1:141" s="27" customFormat="1" x14ac:dyDescent="0.2">
      <c r="A4" s="27" t="s">
        <v>34</v>
      </c>
      <c r="B4" s="27" t="str">
        <f>RIGHT(B1,C3)</f>
        <v>rstuvwxyz</v>
      </c>
      <c r="D4" s="41" t="s">
        <v>105</v>
      </c>
      <c r="E4" s="37" t="e">
        <f>FIND("hi", B4)</f>
        <v>#VALUE!</v>
      </c>
    </row>
    <row r="5" spans="1:141" s="27" customFormat="1" x14ac:dyDescent="0.2">
      <c r="A5" s="27" t="s">
        <v>35</v>
      </c>
      <c r="B5" s="27" t="str">
        <f>LEFT(B1,B3-C3)</f>
        <v>abcdefghijklmnopq</v>
      </c>
      <c r="D5" s="41" t="s">
        <v>106</v>
      </c>
      <c r="E5" s="37">
        <f>FIND("hi",B5)</f>
        <v>8</v>
      </c>
    </row>
    <row r="6" spans="1:141" s="27" customFormat="1" x14ac:dyDescent="0.2">
      <c r="A6" s="39" t="s">
        <v>36</v>
      </c>
      <c r="B6" s="39" t="str">
        <f>CONCATENATE(" ", B4, B5)</f>
        <v xml:space="preserve"> rstuvwxyzabcdefghijklmnopq</v>
      </c>
      <c r="D6" s="36"/>
    </row>
    <row r="7" spans="1:141" s="27" customFormat="1" ht="16" thickBot="1" x14ac:dyDescent="0.25">
      <c r="A7" s="29" t="s">
        <v>114</v>
      </c>
      <c r="B7" s="29" t="s">
        <v>92</v>
      </c>
      <c r="C7" s="29" t="s">
        <v>80</v>
      </c>
      <c r="D7" s="29" t="s">
        <v>80</v>
      </c>
      <c r="E7" s="29" t="s">
        <v>80</v>
      </c>
      <c r="F7" s="29" t="s">
        <v>80</v>
      </c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</row>
    <row r="8" spans="1:141" s="39" customFormat="1" ht="16" thickBot="1" x14ac:dyDescent="0.25">
      <c r="A8" s="93" t="s">
        <v>37</v>
      </c>
      <c r="B8" s="102" t="s">
        <v>57</v>
      </c>
      <c r="C8" s="103"/>
      <c r="D8" s="103"/>
      <c r="E8" s="103"/>
      <c r="F8" s="103"/>
      <c r="G8" s="103"/>
      <c r="H8" s="103"/>
      <c r="I8" s="103"/>
      <c r="J8" s="103"/>
      <c r="K8" s="103"/>
      <c r="L8" s="103"/>
      <c r="M8" s="103"/>
      <c r="N8" s="103"/>
      <c r="O8" s="103"/>
      <c r="P8" s="103"/>
      <c r="Q8" s="104"/>
    </row>
    <row r="9" spans="1:141" s="43" customFormat="1" x14ac:dyDescent="0.2">
      <c r="A9" s="93" t="s">
        <v>39</v>
      </c>
      <c r="B9" s="94">
        <v>1</v>
      </c>
      <c r="C9" s="94">
        <v>2</v>
      </c>
      <c r="D9" s="94">
        <v>3</v>
      </c>
      <c r="E9" s="94">
        <v>4</v>
      </c>
      <c r="F9" s="94">
        <v>5</v>
      </c>
      <c r="G9" s="94">
        <v>6</v>
      </c>
      <c r="H9" s="94">
        <v>7</v>
      </c>
      <c r="I9" s="94">
        <v>8</v>
      </c>
      <c r="J9" s="94">
        <v>9</v>
      </c>
      <c r="K9" s="94">
        <v>10</v>
      </c>
      <c r="L9" s="94">
        <v>11</v>
      </c>
      <c r="M9" s="94">
        <v>12</v>
      </c>
      <c r="N9" s="94">
        <v>13</v>
      </c>
      <c r="O9" s="94">
        <v>14</v>
      </c>
      <c r="P9" s="94">
        <v>15</v>
      </c>
      <c r="Q9" s="94">
        <v>16</v>
      </c>
      <c r="R9" s="43">
        <v>17</v>
      </c>
      <c r="S9" s="43">
        <v>18</v>
      </c>
      <c r="T9" s="43">
        <v>19</v>
      </c>
      <c r="U9" s="43">
        <v>20</v>
      </c>
      <c r="V9" s="43">
        <v>21</v>
      </c>
      <c r="W9" s="43">
        <v>22</v>
      </c>
      <c r="X9" s="43">
        <v>23</v>
      </c>
      <c r="Y9" s="43">
        <v>24</v>
      </c>
      <c r="Z9" s="43">
        <v>25</v>
      </c>
      <c r="AA9" s="43">
        <v>26</v>
      </c>
      <c r="AB9" s="43">
        <v>27</v>
      </c>
      <c r="AC9" s="43">
        <v>28</v>
      </c>
      <c r="AD9" s="43">
        <v>29</v>
      </c>
      <c r="AE9" s="43">
        <v>30</v>
      </c>
      <c r="AF9" s="43">
        <v>31</v>
      </c>
      <c r="AG9" s="43">
        <v>32</v>
      </c>
      <c r="AH9" s="43">
        <v>33</v>
      </c>
      <c r="AI9" s="43">
        <v>34</v>
      </c>
      <c r="AJ9" s="43">
        <v>35</v>
      </c>
      <c r="AK9" s="43">
        <v>36</v>
      </c>
      <c r="AL9" s="43">
        <v>37</v>
      </c>
      <c r="AM9" s="43">
        <v>38</v>
      </c>
      <c r="AN9" s="43">
        <v>39</v>
      </c>
      <c r="AO9" s="43">
        <v>40</v>
      </c>
      <c r="AP9" s="43">
        <v>41</v>
      </c>
      <c r="AQ9" s="43">
        <v>42</v>
      </c>
      <c r="AR9" s="43">
        <v>43</v>
      </c>
      <c r="AS9" s="43">
        <v>44</v>
      </c>
      <c r="AT9" s="43">
        <v>45</v>
      </c>
      <c r="AU9" s="43">
        <v>46</v>
      </c>
      <c r="AV9" s="43">
        <v>47</v>
      </c>
      <c r="AW9" s="43">
        <v>48</v>
      </c>
      <c r="AX9" s="43">
        <v>49</v>
      </c>
      <c r="AY9" s="43">
        <v>50</v>
      </c>
      <c r="AZ9" s="43">
        <v>51</v>
      </c>
      <c r="BA9" s="43">
        <v>52</v>
      </c>
      <c r="BB9" s="43">
        <v>53</v>
      </c>
      <c r="BC9" s="43">
        <v>54</v>
      </c>
      <c r="BD9" s="43">
        <v>55</v>
      </c>
      <c r="BE9" s="43">
        <v>56</v>
      </c>
      <c r="BF9" s="43">
        <v>57</v>
      </c>
      <c r="BG9" s="43">
        <v>58</v>
      </c>
      <c r="BH9" s="43">
        <v>59</v>
      </c>
      <c r="BI9" s="43">
        <v>60</v>
      </c>
      <c r="BJ9" s="43">
        <v>61</v>
      </c>
      <c r="BK9" s="43">
        <v>62</v>
      </c>
      <c r="BL9" s="43">
        <v>63</v>
      </c>
      <c r="BM9" s="43">
        <v>64</v>
      </c>
      <c r="BN9" s="43">
        <v>65</v>
      </c>
      <c r="BO9" s="43">
        <v>66</v>
      </c>
      <c r="BP9" s="43">
        <v>67</v>
      </c>
      <c r="BQ9" s="43">
        <v>68</v>
      </c>
      <c r="BR9" s="43">
        <v>69</v>
      </c>
      <c r="BS9" s="43">
        <v>70</v>
      </c>
      <c r="BT9" s="43">
        <v>71</v>
      </c>
      <c r="BU9" s="43">
        <v>72</v>
      </c>
      <c r="BV9" s="43">
        <v>73</v>
      </c>
      <c r="BW9" s="43">
        <v>74</v>
      </c>
      <c r="BX9" s="43">
        <v>75</v>
      </c>
      <c r="BY9" s="43">
        <v>76</v>
      </c>
      <c r="BZ9" s="43">
        <v>77</v>
      </c>
      <c r="CA9" s="43">
        <v>78</v>
      </c>
      <c r="CB9" s="43">
        <v>79</v>
      </c>
      <c r="CC9" s="43">
        <v>80</v>
      </c>
      <c r="CD9" s="43">
        <v>81</v>
      </c>
      <c r="CE9" s="43">
        <v>82</v>
      </c>
      <c r="CF9" s="43">
        <v>83</v>
      </c>
      <c r="CG9" s="43">
        <v>84</v>
      </c>
      <c r="CH9" s="43">
        <v>85</v>
      </c>
      <c r="CI9" s="43">
        <v>86</v>
      </c>
      <c r="CJ9" s="43">
        <v>87</v>
      </c>
      <c r="CK9" s="43">
        <v>88</v>
      </c>
      <c r="CL9" s="43">
        <v>89</v>
      </c>
      <c r="CM9" s="43">
        <v>90</v>
      </c>
      <c r="CN9" s="43">
        <v>91</v>
      </c>
      <c r="CO9" s="43">
        <v>92</v>
      </c>
      <c r="CP9" s="43">
        <v>93</v>
      </c>
      <c r="CQ9" s="43">
        <v>94</v>
      </c>
      <c r="CR9" s="43">
        <v>95</v>
      </c>
      <c r="CS9" s="43">
        <v>96</v>
      </c>
      <c r="CT9" s="43">
        <v>97</v>
      </c>
      <c r="CU9" s="43">
        <v>98</v>
      </c>
      <c r="CV9" s="43">
        <v>99</v>
      </c>
      <c r="CW9" s="43">
        <v>100</v>
      </c>
      <c r="CX9" s="43">
        <v>101</v>
      </c>
      <c r="CY9" s="43">
        <v>102</v>
      </c>
      <c r="CZ9" s="43">
        <v>103</v>
      </c>
      <c r="DA9" s="43">
        <v>104</v>
      </c>
      <c r="DB9" s="43">
        <v>105</v>
      </c>
      <c r="DC9" s="43">
        <v>106</v>
      </c>
      <c r="DD9" s="43">
        <v>107</v>
      </c>
      <c r="DE9" s="43">
        <v>108</v>
      </c>
      <c r="DF9" s="43">
        <v>109</v>
      </c>
      <c r="DG9" s="43">
        <v>110</v>
      </c>
      <c r="DH9" s="43">
        <v>111</v>
      </c>
      <c r="DI9" s="43">
        <v>112</v>
      </c>
      <c r="DJ9" s="43">
        <v>113</v>
      </c>
      <c r="DK9" s="43">
        <v>114</v>
      </c>
      <c r="DL9" s="43">
        <v>115</v>
      </c>
      <c r="DM9" s="43">
        <v>116</v>
      </c>
      <c r="DN9" s="43">
        <v>117</v>
      </c>
      <c r="DO9" s="43">
        <v>118</v>
      </c>
      <c r="DP9" s="43">
        <v>119</v>
      </c>
      <c r="DQ9" s="43">
        <v>120</v>
      </c>
      <c r="DR9" s="43">
        <v>121</v>
      </c>
      <c r="DS9" s="43">
        <v>122</v>
      </c>
      <c r="DT9" s="43">
        <v>123</v>
      </c>
      <c r="DU9" s="43">
        <v>124</v>
      </c>
      <c r="DV9" s="43">
        <v>125</v>
      </c>
      <c r="DW9" s="43">
        <v>126</v>
      </c>
      <c r="DX9" s="43">
        <v>127</v>
      </c>
      <c r="DY9" s="43">
        <v>128</v>
      </c>
      <c r="DZ9" s="43">
        <v>129</v>
      </c>
      <c r="EA9" s="43">
        <v>130</v>
      </c>
      <c r="EB9" s="43">
        <v>131</v>
      </c>
      <c r="EC9" s="43">
        <v>132</v>
      </c>
      <c r="ED9" s="43">
        <v>133</v>
      </c>
      <c r="EE9" s="43">
        <v>134</v>
      </c>
      <c r="EF9" s="43">
        <v>135</v>
      </c>
      <c r="EG9" s="43">
        <v>136</v>
      </c>
      <c r="EH9" s="43">
        <v>137</v>
      </c>
      <c r="EI9" s="43">
        <v>138</v>
      </c>
      <c r="EJ9" s="43">
        <v>139</v>
      </c>
      <c r="EK9" s="43">
        <v>140</v>
      </c>
    </row>
    <row r="10" spans="1:141" s="43" customFormat="1" x14ac:dyDescent="0.2">
      <c r="A10" s="93" t="s">
        <v>40</v>
      </c>
      <c r="B10" s="94" t="str">
        <f>MID($B$8,B9,1)</f>
        <v>j</v>
      </c>
      <c r="C10" s="94" t="str">
        <f t="shared" ref="C10:F10" si="0">MID($B$8,C9,1)</f>
        <v>b</v>
      </c>
      <c r="D10" s="94" t="str">
        <f t="shared" si="0"/>
        <v>h</v>
      </c>
      <c r="E10" s="94" t="str">
        <f t="shared" si="0"/>
        <v>v</v>
      </c>
      <c r="F10" s="94" t="str">
        <f t="shared" si="0"/>
        <v>v</v>
      </c>
      <c r="G10" s="94" t="str">
        <f t="shared" ref="G10" si="1">MID($B$8,G9,1)</f>
        <v>n</v>
      </c>
      <c r="H10" s="94" t="str">
        <f t="shared" ref="H10" si="2">MID($B$8,H9,1)</f>
        <v>c</v>
      </c>
      <c r="I10" s="94" t="str">
        <f t="shared" ref="I10:J10" si="3">MID($B$8,I9,1)</f>
        <v>a</v>
      </c>
      <c r="J10" s="94" t="str">
        <f t="shared" si="3"/>
        <v>r</v>
      </c>
      <c r="K10" s="94" t="str">
        <f t="shared" ref="K10" si="4">MID($B$8,K9,1)</f>
        <v>l</v>
      </c>
      <c r="L10" s="94" t="str">
        <f t="shared" ref="L10" si="5">MID($B$8,L9,1)</f>
        <v xml:space="preserve"> </v>
      </c>
      <c r="M10" s="94" t="str">
        <f t="shared" ref="M10:N10" si="6">MID($B$8,M9,1)</f>
        <v>t</v>
      </c>
      <c r="N10" s="94" t="str">
        <f t="shared" si="6"/>
        <v>n</v>
      </c>
      <c r="O10" s="94" t="str">
        <f t="shared" ref="O10" si="7">MID($B$8,O9,1)</f>
        <v>h</v>
      </c>
      <c r="P10" s="94" t="str">
        <f t="shared" ref="P10" si="8">MID($B$8,P9,1)</f>
        <v>b</v>
      </c>
      <c r="Q10" s="94" t="str">
        <f t="shared" ref="Q10:R10" si="9">MID($B$8,Q9,1)</f>
        <v xml:space="preserve"> </v>
      </c>
      <c r="R10" s="43" t="str">
        <f t="shared" si="9"/>
        <v>j</v>
      </c>
      <c r="S10" s="43" t="str">
        <f t="shared" ref="S10" si="10">MID($B$8,S9,1)</f>
        <v>w</v>
      </c>
      <c r="T10" s="43" t="str">
        <f t="shared" ref="T10" si="11">MID($B$8,T9,1)</f>
        <v>m</v>
      </c>
      <c r="U10" s="43" t="str">
        <f t="shared" ref="U10:V10" si="12">MID($B$8,U9,1)</f>
        <v xml:space="preserve"> </v>
      </c>
      <c r="V10" s="43" t="str">
        <f t="shared" si="12"/>
        <v>y</v>
      </c>
      <c r="W10" s="43" t="str">
        <f t="shared" ref="W10" si="13">MID($B$8,W9,1)</f>
        <v>d</v>
      </c>
      <c r="X10" s="43" t="str">
        <f t="shared" ref="X10" si="14">MID($B$8,X9,1)</f>
        <v>k</v>
      </c>
      <c r="Y10" s="43" t="str">
        <f t="shared" ref="Y10:Z10" si="15">MID($B$8,Y9,1)</f>
        <v>u</v>
      </c>
      <c r="Z10" s="43" t="str">
        <f t="shared" si="15"/>
        <v>r</v>
      </c>
      <c r="AA10" s="43" t="str">
        <f t="shared" ref="AA10" si="16">MID($B$8,AA9,1)</f>
        <v>l</v>
      </c>
      <c r="AB10" s="43" t="str">
        <f t="shared" ref="AB10" si="17">MID($B$8,AB9,1)</f>
        <v xml:space="preserve"> </v>
      </c>
      <c r="AC10" s="43" t="str">
        <f t="shared" ref="AC10:AD10" si="18">MID($B$8,AC9,1)</f>
        <v>t</v>
      </c>
      <c r="AD10" s="43" t="str">
        <f t="shared" si="18"/>
        <v>n</v>
      </c>
      <c r="AE10" s="43" t="str">
        <f t="shared" ref="AE10" si="19">MID($B$8,AE9,1)</f>
        <v>h</v>
      </c>
      <c r="AF10" s="43" t="str">
        <f t="shared" ref="AF10" si="20">MID($B$8,AF9,1)</f>
        <v>b</v>
      </c>
      <c r="AG10" s="43" t="str">
        <f t="shared" ref="AG10:AH10" si="21">MID($B$8,AG9,1)</f>
        <v xml:space="preserve"> </v>
      </c>
      <c r="AH10" s="43" t="str">
        <f t="shared" si="21"/>
        <v>j</v>
      </c>
      <c r="AI10" s="43" t="str">
        <f t="shared" ref="AI10" si="22">MID($B$8,AI9,1)</f>
        <v>w</v>
      </c>
      <c r="AJ10" s="43" t="str">
        <f t="shared" ref="AJ10" si="23">MID($B$8,AJ9,1)</f>
        <v>m</v>
      </c>
      <c r="AK10" s="43" t="str">
        <f t="shared" ref="AK10:AL10" si="24">MID($B$8,AK9,1)</f>
        <v xml:space="preserve"> </v>
      </c>
      <c r="AL10" s="43" t="str">
        <f t="shared" si="24"/>
        <v>y</v>
      </c>
      <c r="AM10" s="43" t="str">
        <f t="shared" ref="AM10" si="25">MID($B$8,AM9,1)</f>
        <v>a</v>
      </c>
      <c r="AN10" s="43" t="str">
        <f t="shared" ref="AN10" si="26">MID($B$8,AN9,1)</f>
        <v>r</v>
      </c>
      <c r="AO10" s="43" t="str">
        <f t="shared" ref="AO10:AP10" si="27">MID($B$8,AO9,1)</f>
        <v>e</v>
      </c>
      <c r="AP10" s="43" t="str">
        <f t="shared" si="27"/>
        <v>j</v>
      </c>
      <c r="AQ10" s="43" t="str">
        <f t="shared" ref="AQ10" si="28">MID($B$8,AQ9,1)</f>
        <v>c</v>
      </c>
      <c r="AR10" s="43" t="str">
        <f t="shared" ref="AR10" si="29">MID($B$8,AR9,1)</f>
        <v>n</v>
      </c>
      <c r="AS10" s="43" t="str">
        <f t="shared" ref="AS10:AT10" si="30">MID($B$8,AS9,1)</f>
        <v xml:space="preserve"> </v>
      </c>
      <c r="AT10" s="43" t="str">
        <f t="shared" si="30"/>
        <v>t</v>
      </c>
      <c r="AU10" s="43" t="str">
        <f t="shared" ref="AU10" si="31">MID($B$8,AU9,1)</f>
        <v>n</v>
      </c>
      <c r="AV10" s="43" t="str">
        <f t="shared" ref="AV10" si="32">MID($B$8,AV9,1)</f>
        <v>h</v>
      </c>
      <c r="AW10" s="43" t="str">
        <f t="shared" ref="AW10:AX10" si="33">MID($B$8,AW9,1)</f>
        <v>b</v>
      </c>
      <c r="AX10" s="43" t="str">
        <f t="shared" si="33"/>
        <v xml:space="preserve"> </v>
      </c>
      <c r="AY10" s="43" t="str">
        <f t="shared" ref="AY10" si="34">MID($B$8,AY9,1)</f>
        <v>j</v>
      </c>
      <c r="AZ10" s="43" t="str">
        <f t="shared" ref="AZ10" si="35">MID($B$8,AZ9,1)</f>
        <v>a</v>
      </c>
      <c r="BA10" s="43" t="str">
        <f t="shared" ref="BA10:BB10" si="36">MID($B$8,BA9,1)</f>
        <v>n</v>
      </c>
      <c r="BB10" s="43" t="str">
        <f t="shared" si="36"/>
        <v xml:space="preserve"> </v>
      </c>
      <c r="BC10" s="43" t="str">
        <f t="shared" ref="BC10" si="37">MID($B$8,BC9,1)</f>
        <v>j</v>
      </c>
      <c r="BD10" s="43" t="str">
        <f t="shared" ref="BD10" si="38">MID($B$8,BD9,1)</f>
        <v>u</v>
      </c>
      <c r="BE10" s="43" t="str">
        <f t="shared" ref="BE10:BF10" si="39">MID($B$8,BE9,1)</f>
        <v>u</v>
      </c>
      <c r="BF10" s="43" t="str">
        <f t="shared" si="39"/>
        <v xml:space="preserve"> </v>
      </c>
      <c r="BG10" s="43" t="str">
        <f t="shared" ref="BG10" si="40">MID($B$8,BG9,1)</f>
        <v>l</v>
      </c>
      <c r="BH10" s="43" t="str">
        <f t="shared" ref="BH10" si="41">MID($B$8,BH9,1)</f>
        <v>x</v>
      </c>
      <c r="BI10" s="43" t="str">
        <f t="shared" ref="BI10:BJ10" si="42">MID($B$8,BI9,1)</f>
        <v>w</v>
      </c>
      <c r="BJ10" s="43" t="str">
        <f t="shared" si="42"/>
        <v>l</v>
      </c>
      <c r="BK10" s="43" t="str">
        <f t="shared" ref="BK10" si="43">MID($B$8,BK9,1)</f>
        <v>n</v>
      </c>
      <c r="BL10" s="43" t="str">
        <f t="shared" ref="BL10" si="44">MID($B$8,BL9,1)</f>
        <v>y</v>
      </c>
      <c r="BM10" s="43" t="str">
        <f t="shared" ref="BM10:BN10" si="45">MID($B$8,BM9,1)</f>
        <v>c</v>
      </c>
      <c r="BN10" s="43" t="str">
        <f t="shared" si="45"/>
        <v>b</v>
      </c>
      <c r="BO10" s="43" t="str">
        <f t="shared" ref="BO10" si="46">MID($B$8,BO9,1)</f>
        <v xml:space="preserve"> </v>
      </c>
      <c r="BP10" s="43" t="str">
        <f t="shared" ref="BP10" si="47">MID($B$8,BP9,1)</f>
        <v>j</v>
      </c>
      <c r="BQ10" s="43" t="str">
        <f t="shared" ref="BQ10:BR10" si="48">MID($B$8,BQ9,1)</f>
        <v>b</v>
      </c>
      <c r="BR10" s="43" t="str">
        <f t="shared" si="48"/>
        <v>b</v>
      </c>
      <c r="BS10" s="43" t="str">
        <f t="shared" ref="BS10" si="49">MID($B$8,BS9,1)</f>
        <v>x</v>
      </c>
      <c r="BT10" s="43" t="str">
        <f t="shared" ref="BT10" si="50">MID($B$8,BT9,1)</f>
        <v>l</v>
      </c>
      <c r="BU10" s="43" t="str">
        <f t="shared" ref="BU10:BV10" si="51">MID($B$8,BU9,1)</f>
        <v>r</v>
      </c>
      <c r="BV10" s="43" t="str">
        <f t="shared" si="51"/>
        <v>j</v>
      </c>
      <c r="BW10" s="43" t="str">
        <f t="shared" ref="BW10" si="52">MID($B$8,BW9,1)</f>
        <v>c</v>
      </c>
      <c r="BX10" s="43" t="str">
        <f t="shared" ref="BX10" si="53">MID($B$8,BX9,1)</f>
        <v>n</v>
      </c>
      <c r="BY10" s="43" t="str">
        <f t="shared" ref="BY10:BZ10" si="54">MID($B$8,BY9,1)</f>
        <v>m</v>
      </c>
      <c r="BZ10" s="43" t="str">
        <f t="shared" si="54"/>
        <v xml:space="preserve"> </v>
      </c>
      <c r="CA10" s="43" t="str">
        <f t="shared" ref="CA10" si="55">MID($B$8,CA9,1)</f>
        <v>f</v>
      </c>
      <c r="CB10" s="43" t="str">
        <f t="shared" ref="CB10" si="56">MID($B$8,CB9,1)</f>
        <v>r</v>
      </c>
      <c r="CC10" s="43" t="str">
        <f t="shared" ref="CC10:CD10" si="57">MID($B$8,CC9,1)</f>
        <v>c</v>
      </c>
      <c r="CD10" s="43" t="str">
        <f t="shared" si="57"/>
        <v>q</v>
      </c>
      <c r="CE10" s="43" t="str">
        <f t="shared" ref="CE10" si="58">MID($B$8,CE9,1)</f>
        <v xml:space="preserve"> </v>
      </c>
      <c r="CF10" s="43" t="str">
        <f t="shared" ref="CF10" si="59">MID($B$8,CF9,1)</f>
        <v>y</v>
      </c>
      <c r="CG10" s="43" t="str">
        <f t="shared" ref="CG10:CH10" si="60">MID($B$8,CG9,1)</f>
        <v>d</v>
      </c>
      <c r="CH10" s="43" t="str">
        <f t="shared" si="60"/>
        <v>k</v>
      </c>
      <c r="CI10" s="43" t="str">
        <f t="shared" ref="CI10" si="61">MID($B$8,CI9,1)</f>
        <v>u</v>
      </c>
      <c r="CJ10" s="43" t="str">
        <f t="shared" ref="CJ10" si="62">MID($B$8,CJ9,1)</f>
        <v>r</v>
      </c>
      <c r="CK10" s="43" t="str">
        <f t="shared" ref="CK10:CL10" si="63">MID($B$8,CK9,1)</f>
        <v>l</v>
      </c>
      <c r="CL10" s="43" t="str">
        <f t="shared" si="63"/>
        <v xml:space="preserve"> </v>
      </c>
      <c r="CM10" s="43" t="str">
        <f t="shared" ref="CM10" si="64">MID($B$8,CM9,1)</f>
        <v>t</v>
      </c>
      <c r="CN10" s="43" t="str">
        <f t="shared" ref="CN10" si="65">MID($B$8,CN9,1)</f>
        <v>n</v>
      </c>
      <c r="CO10" s="43" t="str">
        <f t="shared" ref="CO10:CP10" si="66">MID($B$8,CO9,1)</f>
        <v>h</v>
      </c>
      <c r="CP10" s="43" t="str">
        <f t="shared" si="66"/>
        <v xml:space="preserve"> </v>
      </c>
      <c r="CQ10" s="43" t="str">
        <f t="shared" ref="CQ10" si="67">MID($B$8,CQ9,1)</f>
        <v>n</v>
      </c>
      <c r="CR10" s="43" t="str">
        <f t="shared" ref="CR10" si="68">MID($B$8,CR9,1)</f>
        <v>w</v>
      </c>
      <c r="CS10" s="43" t="str">
        <f t="shared" ref="CS10:CT10" si="69">MID($B$8,CS9,1)</f>
        <v>l</v>
      </c>
      <c r="CT10" s="43" t="str">
        <f t="shared" si="69"/>
        <v>a</v>
      </c>
      <c r="CU10" s="43" t="str">
        <f t="shared" ref="CU10" si="70">MID($B$8,CU9,1)</f>
        <v>h</v>
      </c>
      <c r="CV10" s="43" t="str">
        <f t="shared" ref="CV10" si="71">MID($B$8,CV9,1)</f>
        <v>y</v>
      </c>
      <c r="CW10" s="43" t="str">
        <f t="shared" ref="CW10:CX10" si="72">MID($B$8,CW9,1)</f>
        <v>c</v>
      </c>
      <c r="CX10" s="43" t="str">
        <f t="shared" si="72"/>
        <v>r</v>
      </c>
      <c r="CY10" s="43" t="str">
        <f t="shared" ref="CY10" si="73">MID($B$8,CY9,1)</f>
        <v>x</v>
      </c>
      <c r="CZ10" s="43" t="str">
        <f t="shared" ref="CZ10" si="74">MID($B$8,CZ9,1)</f>
        <v>w</v>
      </c>
      <c r="DA10" s="43" t="str">
        <f t="shared" ref="DA10:DB10" si="75">MID($B$8,DA9,1)</f>
        <v xml:space="preserve"> </v>
      </c>
      <c r="DB10" s="43" t="str">
        <f t="shared" si="75"/>
        <v xml:space="preserve"> </v>
      </c>
      <c r="DC10" s="43" t="str">
        <f t="shared" ref="DC10" si="76">MID($B$8,DC9,1)</f>
        <v xml:space="preserve"> </v>
      </c>
      <c r="DD10" s="43" t="str">
        <f t="shared" ref="DD10" si="77">MID($B$8,DD9,1)</f>
        <v xml:space="preserve"> </v>
      </c>
      <c r="DE10" s="43" t="str">
        <f t="shared" ref="DE10:DF10" si="78">MID($B$8,DE9,1)</f>
        <v xml:space="preserve"> </v>
      </c>
      <c r="DF10" s="43" t="str">
        <f t="shared" si="78"/>
        <v xml:space="preserve"> </v>
      </c>
      <c r="DG10" s="43" t="str">
        <f t="shared" ref="DG10" si="79">MID($B$8,DG9,1)</f>
        <v xml:space="preserve"> </v>
      </c>
      <c r="DH10" s="43" t="str">
        <f t="shared" ref="DH10" si="80">MID($B$8,DH9,1)</f>
        <v xml:space="preserve"> </v>
      </c>
      <c r="DI10" s="43" t="str">
        <f t="shared" ref="DI10:DJ10" si="81">MID($B$8,DI9,1)</f>
        <v xml:space="preserve"> </v>
      </c>
      <c r="DJ10" s="43" t="str">
        <f t="shared" si="81"/>
        <v xml:space="preserve"> </v>
      </c>
      <c r="DK10" s="43" t="str">
        <f t="shared" ref="DK10" si="82">MID($B$8,DK9,1)</f>
        <v xml:space="preserve"> </v>
      </c>
      <c r="DL10" s="43" t="str">
        <f t="shared" ref="DL10" si="83">MID($B$8,DL9,1)</f>
        <v xml:space="preserve"> </v>
      </c>
      <c r="DM10" s="43" t="str">
        <f t="shared" ref="DM10:DN10" si="84">MID($B$8,DM9,1)</f>
        <v xml:space="preserve"> </v>
      </c>
      <c r="DN10" s="43" t="str">
        <f t="shared" si="84"/>
        <v xml:space="preserve"> </v>
      </c>
      <c r="DO10" s="43" t="str">
        <f t="shared" ref="DO10" si="85">MID($B$8,DO9,1)</f>
        <v xml:space="preserve"> </v>
      </c>
      <c r="DP10" s="43" t="str">
        <f t="shared" ref="DP10" si="86">MID($B$8,DP9,1)</f>
        <v xml:space="preserve"> </v>
      </c>
      <c r="DQ10" s="43" t="str">
        <f t="shared" ref="DQ10:DR10" si="87">MID($B$8,DQ9,1)</f>
        <v xml:space="preserve"> </v>
      </c>
      <c r="DR10" s="43" t="str">
        <f t="shared" si="87"/>
        <v xml:space="preserve"> </v>
      </c>
      <c r="DS10" s="43" t="str">
        <f t="shared" ref="DS10" si="88">MID($B$8,DS9,1)</f>
        <v xml:space="preserve"> </v>
      </c>
      <c r="DT10" s="43" t="str">
        <f t="shared" ref="DT10" si="89">MID($B$8,DT9,1)</f>
        <v xml:space="preserve"> </v>
      </c>
      <c r="DU10" s="43" t="str">
        <f t="shared" ref="DU10:DV10" si="90">MID($B$8,DU9,1)</f>
        <v xml:space="preserve"> </v>
      </c>
      <c r="DV10" s="43" t="str">
        <f t="shared" si="90"/>
        <v xml:space="preserve"> </v>
      </c>
      <c r="DW10" s="43" t="str">
        <f t="shared" ref="DW10" si="91">MID($B$8,DW9,1)</f>
        <v xml:space="preserve"> </v>
      </c>
      <c r="DX10" s="43" t="str">
        <f t="shared" ref="DX10" si="92">MID($B$8,DX9,1)</f>
        <v xml:space="preserve"> </v>
      </c>
      <c r="DY10" s="43" t="str">
        <f t="shared" ref="DY10:DZ10" si="93">MID($B$8,DY9,1)</f>
        <v xml:space="preserve"> </v>
      </c>
      <c r="DZ10" s="43" t="str">
        <f t="shared" si="93"/>
        <v xml:space="preserve"> </v>
      </c>
      <c r="EA10" s="43" t="str">
        <f t="shared" ref="EA10" si="94">MID($B$8,EA9,1)</f>
        <v xml:space="preserve"> </v>
      </c>
      <c r="EB10" s="43" t="str">
        <f t="shared" ref="EB10" si="95">MID($B$8,EB9,1)</f>
        <v xml:space="preserve"> </v>
      </c>
      <c r="EC10" s="43" t="str">
        <f t="shared" ref="EC10:ED10" si="96">MID($B$8,EC9,1)</f>
        <v xml:space="preserve"> </v>
      </c>
      <c r="ED10" s="43" t="str">
        <f t="shared" si="96"/>
        <v xml:space="preserve"> </v>
      </c>
      <c r="EE10" s="43" t="str">
        <f t="shared" ref="EE10" si="97">MID($B$8,EE9,1)</f>
        <v xml:space="preserve"> </v>
      </c>
      <c r="EF10" s="43" t="str">
        <f t="shared" ref="EF10" si="98">MID($B$8,EF9,1)</f>
        <v xml:space="preserve"> </v>
      </c>
      <c r="EG10" s="43" t="str">
        <f t="shared" ref="EG10:EH10" si="99">MID($B$8,EG9,1)</f>
        <v xml:space="preserve"> </v>
      </c>
      <c r="EH10" s="43" t="str">
        <f t="shared" si="99"/>
        <v xml:space="preserve"> </v>
      </c>
      <c r="EI10" s="43" t="str">
        <f t="shared" ref="EI10" si="100">MID($B$8,EI9,1)</f>
        <v xml:space="preserve"> </v>
      </c>
      <c r="EJ10" s="43" t="str">
        <f t="shared" ref="EJ10" si="101">MID($B$8,EJ9,1)</f>
        <v xml:space="preserve"> </v>
      </c>
      <c r="EK10" s="43" t="str">
        <f t="shared" ref="EK10" si="102">MID($B$8,EK9,1)</f>
        <v xml:space="preserve"> </v>
      </c>
    </row>
    <row r="11" spans="1:141" s="43" customFormat="1" x14ac:dyDescent="0.2">
      <c r="A11" s="93" t="s">
        <v>41</v>
      </c>
      <c r="B11" s="94">
        <f>FIND(B10,$B$2)</f>
        <v>11</v>
      </c>
      <c r="C11" s="94">
        <f t="shared" ref="C11:BN11" si="103">FIND(C10,$B$2)</f>
        <v>3</v>
      </c>
      <c r="D11" s="94">
        <f t="shared" si="103"/>
        <v>9</v>
      </c>
      <c r="E11" s="94">
        <f t="shared" si="103"/>
        <v>23</v>
      </c>
      <c r="F11" s="94">
        <f t="shared" si="103"/>
        <v>23</v>
      </c>
      <c r="G11" s="94">
        <f t="shared" si="103"/>
        <v>15</v>
      </c>
      <c r="H11" s="94">
        <f t="shared" si="103"/>
        <v>4</v>
      </c>
      <c r="I11" s="94">
        <f t="shared" si="103"/>
        <v>2</v>
      </c>
      <c r="J11" s="94">
        <f t="shared" si="103"/>
        <v>19</v>
      </c>
      <c r="K11" s="94">
        <f t="shared" si="103"/>
        <v>13</v>
      </c>
      <c r="L11" s="94">
        <f t="shared" si="103"/>
        <v>1</v>
      </c>
      <c r="M11" s="94">
        <f t="shared" si="103"/>
        <v>21</v>
      </c>
      <c r="N11" s="94">
        <f t="shared" si="103"/>
        <v>15</v>
      </c>
      <c r="O11" s="94">
        <f t="shared" si="103"/>
        <v>9</v>
      </c>
      <c r="P11" s="94">
        <f t="shared" si="103"/>
        <v>3</v>
      </c>
      <c r="Q11" s="94">
        <f t="shared" si="103"/>
        <v>1</v>
      </c>
      <c r="R11" s="43">
        <f t="shared" si="103"/>
        <v>11</v>
      </c>
      <c r="S11" s="43">
        <f t="shared" si="103"/>
        <v>24</v>
      </c>
      <c r="T11" s="43">
        <f t="shared" si="103"/>
        <v>14</v>
      </c>
      <c r="U11" s="43">
        <f t="shared" si="103"/>
        <v>1</v>
      </c>
      <c r="V11" s="43">
        <f t="shared" si="103"/>
        <v>26</v>
      </c>
      <c r="W11" s="43">
        <f t="shared" si="103"/>
        <v>5</v>
      </c>
      <c r="X11" s="43">
        <f t="shared" si="103"/>
        <v>12</v>
      </c>
      <c r="Y11" s="43">
        <f t="shared" si="103"/>
        <v>22</v>
      </c>
      <c r="Z11" s="43">
        <f t="shared" si="103"/>
        <v>19</v>
      </c>
      <c r="AA11" s="43">
        <f t="shared" si="103"/>
        <v>13</v>
      </c>
      <c r="AB11" s="43">
        <f t="shared" si="103"/>
        <v>1</v>
      </c>
      <c r="AC11" s="43">
        <f t="shared" si="103"/>
        <v>21</v>
      </c>
      <c r="AD11" s="43">
        <f t="shared" si="103"/>
        <v>15</v>
      </c>
      <c r="AE11" s="43">
        <f t="shared" si="103"/>
        <v>9</v>
      </c>
      <c r="AF11" s="43">
        <f t="shared" si="103"/>
        <v>3</v>
      </c>
      <c r="AG11" s="43">
        <f t="shared" si="103"/>
        <v>1</v>
      </c>
      <c r="AH11" s="43">
        <f t="shared" si="103"/>
        <v>11</v>
      </c>
      <c r="AI11" s="43">
        <f t="shared" si="103"/>
        <v>24</v>
      </c>
      <c r="AJ11" s="43">
        <f t="shared" si="103"/>
        <v>14</v>
      </c>
      <c r="AK11" s="43">
        <f t="shared" si="103"/>
        <v>1</v>
      </c>
      <c r="AL11" s="43">
        <f t="shared" si="103"/>
        <v>26</v>
      </c>
      <c r="AM11" s="43">
        <f t="shared" si="103"/>
        <v>2</v>
      </c>
      <c r="AN11" s="43">
        <f t="shared" si="103"/>
        <v>19</v>
      </c>
      <c r="AO11" s="43">
        <f t="shared" si="103"/>
        <v>6</v>
      </c>
      <c r="AP11" s="43">
        <f t="shared" si="103"/>
        <v>11</v>
      </c>
      <c r="AQ11" s="43">
        <f t="shared" si="103"/>
        <v>4</v>
      </c>
      <c r="AR11" s="43">
        <f t="shared" si="103"/>
        <v>15</v>
      </c>
      <c r="AS11" s="43">
        <f t="shared" si="103"/>
        <v>1</v>
      </c>
      <c r="AT11" s="43">
        <f t="shared" si="103"/>
        <v>21</v>
      </c>
      <c r="AU11" s="43">
        <f t="shared" si="103"/>
        <v>15</v>
      </c>
      <c r="AV11" s="43">
        <f t="shared" si="103"/>
        <v>9</v>
      </c>
      <c r="AW11" s="43">
        <f t="shared" si="103"/>
        <v>3</v>
      </c>
      <c r="AX11" s="43">
        <f t="shared" si="103"/>
        <v>1</v>
      </c>
      <c r="AY11" s="43">
        <f t="shared" si="103"/>
        <v>11</v>
      </c>
      <c r="AZ11" s="43">
        <f t="shared" si="103"/>
        <v>2</v>
      </c>
      <c r="BA11" s="43">
        <f t="shared" si="103"/>
        <v>15</v>
      </c>
      <c r="BB11" s="43">
        <f t="shared" si="103"/>
        <v>1</v>
      </c>
      <c r="BC11" s="43">
        <f t="shared" si="103"/>
        <v>11</v>
      </c>
      <c r="BD11" s="43">
        <f t="shared" si="103"/>
        <v>22</v>
      </c>
      <c r="BE11" s="43">
        <f t="shared" si="103"/>
        <v>22</v>
      </c>
      <c r="BF11" s="43">
        <f t="shared" si="103"/>
        <v>1</v>
      </c>
      <c r="BG11" s="43">
        <f t="shared" si="103"/>
        <v>13</v>
      </c>
      <c r="BH11" s="43">
        <f t="shared" si="103"/>
        <v>25</v>
      </c>
      <c r="BI11" s="43">
        <f t="shared" si="103"/>
        <v>24</v>
      </c>
      <c r="BJ11" s="43">
        <f t="shared" si="103"/>
        <v>13</v>
      </c>
      <c r="BK11" s="43">
        <f t="shared" si="103"/>
        <v>15</v>
      </c>
      <c r="BL11" s="43">
        <f t="shared" si="103"/>
        <v>26</v>
      </c>
      <c r="BM11" s="43">
        <f t="shared" si="103"/>
        <v>4</v>
      </c>
      <c r="BN11" s="43">
        <f t="shared" si="103"/>
        <v>3</v>
      </c>
      <c r="BO11" s="43">
        <f t="shared" ref="BO11:DZ11" si="104">FIND(BO10,$B$2)</f>
        <v>1</v>
      </c>
      <c r="BP11" s="43">
        <f t="shared" si="104"/>
        <v>11</v>
      </c>
      <c r="BQ11" s="43">
        <f t="shared" si="104"/>
        <v>3</v>
      </c>
      <c r="BR11" s="43">
        <f t="shared" si="104"/>
        <v>3</v>
      </c>
      <c r="BS11" s="43">
        <f t="shared" si="104"/>
        <v>25</v>
      </c>
      <c r="BT11" s="43">
        <f t="shared" si="104"/>
        <v>13</v>
      </c>
      <c r="BU11" s="43">
        <f t="shared" si="104"/>
        <v>19</v>
      </c>
      <c r="BV11" s="43">
        <f t="shared" si="104"/>
        <v>11</v>
      </c>
      <c r="BW11" s="43">
        <f t="shared" si="104"/>
        <v>4</v>
      </c>
      <c r="BX11" s="43">
        <f t="shared" si="104"/>
        <v>15</v>
      </c>
      <c r="BY11" s="43">
        <f t="shared" si="104"/>
        <v>14</v>
      </c>
      <c r="BZ11" s="43">
        <f t="shared" si="104"/>
        <v>1</v>
      </c>
      <c r="CA11" s="43">
        <f t="shared" si="104"/>
        <v>7</v>
      </c>
      <c r="CB11" s="43">
        <f t="shared" si="104"/>
        <v>19</v>
      </c>
      <c r="CC11" s="43">
        <f t="shared" si="104"/>
        <v>4</v>
      </c>
      <c r="CD11" s="43">
        <f t="shared" si="104"/>
        <v>18</v>
      </c>
      <c r="CE11" s="43">
        <f t="shared" si="104"/>
        <v>1</v>
      </c>
      <c r="CF11" s="43">
        <f t="shared" si="104"/>
        <v>26</v>
      </c>
      <c r="CG11" s="43">
        <f t="shared" si="104"/>
        <v>5</v>
      </c>
      <c r="CH11" s="43">
        <f t="shared" si="104"/>
        <v>12</v>
      </c>
      <c r="CI11" s="43">
        <f t="shared" si="104"/>
        <v>22</v>
      </c>
      <c r="CJ11" s="43">
        <f t="shared" si="104"/>
        <v>19</v>
      </c>
      <c r="CK11" s="43">
        <f t="shared" si="104"/>
        <v>13</v>
      </c>
      <c r="CL11" s="43">
        <f t="shared" si="104"/>
        <v>1</v>
      </c>
      <c r="CM11" s="43">
        <f t="shared" si="104"/>
        <v>21</v>
      </c>
      <c r="CN11" s="43">
        <f t="shared" si="104"/>
        <v>15</v>
      </c>
      <c r="CO11" s="43">
        <f t="shared" si="104"/>
        <v>9</v>
      </c>
      <c r="CP11" s="43">
        <f t="shared" si="104"/>
        <v>1</v>
      </c>
      <c r="CQ11" s="43">
        <f t="shared" si="104"/>
        <v>15</v>
      </c>
      <c r="CR11" s="43">
        <f t="shared" si="104"/>
        <v>24</v>
      </c>
      <c r="CS11" s="43">
        <f t="shared" si="104"/>
        <v>13</v>
      </c>
      <c r="CT11" s="43">
        <f t="shared" si="104"/>
        <v>2</v>
      </c>
      <c r="CU11" s="43">
        <f t="shared" si="104"/>
        <v>9</v>
      </c>
      <c r="CV11" s="43">
        <f t="shared" si="104"/>
        <v>26</v>
      </c>
      <c r="CW11" s="43">
        <f t="shared" si="104"/>
        <v>4</v>
      </c>
      <c r="CX11" s="43">
        <f t="shared" si="104"/>
        <v>19</v>
      </c>
      <c r="CY11" s="43">
        <f t="shared" si="104"/>
        <v>25</v>
      </c>
      <c r="CZ11" s="43">
        <f t="shared" si="104"/>
        <v>24</v>
      </c>
      <c r="DA11" s="43">
        <f t="shared" si="104"/>
        <v>1</v>
      </c>
      <c r="DB11" s="43">
        <f t="shared" si="104"/>
        <v>1</v>
      </c>
      <c r="DC11" s="43">
        <f t="shared" si="104"/>
        <v>1</v>
      </c>
      <c r="DD11" s="43">
        <f t="shared" si="104"/>
        <v>1</v>
      </c>
      <c r="DE11" s="43">
        <f t="shared" si="104"/>
        <v>1</v>
      </c>
      <c r="DF11" s="43">
        <f t="shared" si="104"/>
        <v>1</v>
      </c>
      <c r="DG11" s="43">
        <f t="shared" si="104"/>
        <v>1</v>
      </c>
      <c r="DH11" s="43">
        <f t="shared" si="104"/>
        <v>1</v>
      </c>
      <c r="DI11" s="43">
        <f t="shared" si="104"/>
        <v>1</v>
      </c>
      <c r="DJ11" s="43">
        <f t="shared" si="104"/>
        <v>1</v>
      </c>
      <c r="DK11" s="43">
        <f t="shared" si="104"/>
        <v>1</v>
      </c>
      <c r="DL11" s="43">
        <f t="shared" si="104"/>
        <v>1</v>
      </c>
      <c r="DM11" s="43">
        <f t="shared" si="104"/>
        <v>1</v>
      </c>
      <c r="DN11" s="43">
        <f t="shared" si="104"/>
        <v>1</v>
      </c>
      <c r="DO11" s="43">
        <f t="shared" si="104"/>
        <v>1</v>
      </c>
      <c r="DP11" s="43">
        <f t="shared" si="104"/>
        <v>1</v>
      </c>
      <c r="DQ11" s="43">
        <f t="shared" si="104"/>
        <v>1</v>
      </c>
      <c r="DR11" s="43">
        <f t="shared" si="104"/>
        <v>1</v>
      </c>
      <c r="DS11" s="43">
        <f t="shared" si="104"/>
        <v>1</v>
      </c>
      <c r="DT11" s="43">
        <f t="shared" si="104"/>
        <v>1</v>
      </c>
      <c r="DU11" s="43">
        <f t="shared" si="104"/>
        <v>1</v>
      </c>
      <c r="DV11" s="43">
        <f t="shared" si="104"/>
        <v>1</v>
      </c>
      <c r="DW11" s="43">
        <f t="shared" si="104"/>
        <v>1</v>
      </c>
      <c r="DX11" s="43">
        <f t="shared" si="104"/>
        <v>1</v>
      </c>
      <c r="DY11" s="43">
        <f t="shared" si="104"/>
        <v>1</v>
      </c>
      <c r="DZ11" s="43">
        <f t="shared" si="104"/>
        <v>1</v>
      </c>
      <c r="EA11" s="43">
        <f t="shared" ref="EA11:EK11" si="105">FIND(EA10,$B$2)</f>
        <v>1</v>
      </c>
      <c r="EB11" s="43">
        <f t="shared" si="105"/>
        <v>1</v>
      </c>
      <c r="EC11" s="43">
        <f t="shared" si="105"/>
        <v>1</v>
      </c>
      <c r="ED11" s="43">
        <f t="shared" si="105"/>
        <v>1</v>
      </c>
      <c r="EE11" s="43">
        <f t="shared" si="105"/>
        <v>1</v>
      </c>
      <c r="EF11" s="43">
        <f t="shared" si="105"/>
        <v>1</v>
      </c>
      <c r="EG11" s="43">
        <f t="shared" si="105"/>
        <v>1</v>
      </c>
      <c r="EH11" s="43">
        <f t="shared" si="105"/>
        <v>1</v>
      </c>
      <c r="EI11" s="43">
        <f t="shared" si="105"/>
        <v>1</v>
      </c>
      <c r="EJ11" s="43">
        <f t="shared" si="105"/>
        <v>1</v>
      </c>
      <c r="EK11" s="43">
        <f t="shared" si="105"/>
        <v>1</v>
      </c>
    </row>
    <row r="12" spans="1:141" s="43" customFormat="1" x14ac:dyDescent="0.2">
      <c r="A12" s="42" t="s">
        <v>87</v>
      </c>
      <c r="B12" s="95" t="str">
        <f>MID($B$6,B11,1)</f>
        <v>a</v>
      </c>
      <c r="C12" s="95" t="str">
        <f t="shared" ref="C12:BN12" si="106">MID($B$6,C11,1)</f>
        <v>s</v>
      </c>
      <c r="D12" s="95" t="str">
        <f t="shared" si="106"/>
        <v>y</v>
      </c>
      <c r="E12" s="95" t="str">
        <f t="shared" si="106"/>
        <v>m</v>
      </c>
      <c r="F12" s="95" t="str">
        <f t="shared" si="106"/>
        <v>m</v>
      </c>
      <c r="G12" s="95" t="str">
        <f t="shared" si="106"/>
        <v>e</v>
      </c>
      <c r="H12" s="95" t="str">
        <f t="shared" si="106"/>
        <v>t</v>
      </c>
      <c r="I12" s="95" t="str">
        <f t="shared" si="106"/>
        <v>r</v>
      </c>
      <c r="J12" s="95" t="str">
        <f t="shared" si="106"/>
        <v>i</v>
      </c>
      <c r="K12" s="95" t="str">
        <f t="shared" si="106"/>
        <v>c</v>
      </c>
      <c r="L12" s="95" t="str">
        <f t="shared" si="106"/>
        <v xml:space="preserve"> </v>
      </c>
      <c r="M12" s="95" t="str">
        <f t="shared" si="106"/>
        <v>k</v>
      </c>
      <c r="N12" s="95" t="str">
        <f t="shared" si="106"/>
        <v>e</v>
      </c>
      <c r="O12" s="95" t="str">
        <f t="shared" si="106"/>
        <v>y</v>
      </c>
      <c r="P12" s="95" t="str">
        <f t="shared" si="106"/>
        <v>s</v>
      </c>
      <c r="Q12" s="95" t="str">
        <f t="shared" si="106"/>
        <v xml:space="preserve"> </v>
      </c>
      <c r="R12" s="95" t="str">
        <f t="shared" si="106"/>
        <v>a</v>
      </c>
      <c r="S12" s="95" t="str">
        <f t="shared" si="106"/>
        <v>n</v>
      </c>
      <c r="T12" s="95" t="str">
        <f t="shared" si="106"/>
        <v>d</v>
      </c>
      <c r="U12" s="95" t="str">
        <f t="shared" si="106"/>
        <v xml:space="preserve"> </v>
      </c>
      <c r="V12" s="95" t="str">
        <f t="shared" si="106"/>
        <v>p</v>
      </c>
      <c r="W12" s="95" t="str">
        <f t="shared" si="106"/>
        <v>u</v>
      </c>
      <c r="X12" s="95" t="str">
        <f t="shared" si="106"/>
        <v>b</v>
      </c>
      <c r="Y12" s="95" t="str">
        <f t="shared" si="106"/>
        <v>l</v>
      </c>
      <c r="Z12" s="95" t="str">
        <f t="shared" si="106"/>
        <v>i</v>
      </c>
      <c r="AA12" s="95" t="str">
        <f t="shared" si="106"/>
        <v>c</v>
      </c>
      <c r="AB12" s="95" t="str">
        <f t="shared" si="106"/>
        <v xml:space="preserve"> </v>
      </c>
      <c r="AC12" s="95" t="str">
        <f t="shared" si="106"/>
        <v>k</v>
      </c>
      <c r="AD12" s="95" t="str">
        <f t="shared" si="106"/>
        <v>e</v>
      </c>
      <c r="AE12" s="95" t="str">
        <f t="shared" si="106"/>
        <v>y</v>
      </c>
      <c r="AF12" s="95" t="str">
        <f t="shared" si="106"/>
        <v>s</v>
      </c>
      <c r="AG12" s="95" t="str">
        <f t="shared" si="106"/>
        <v xml:space="preserve"> </v>
      </c>
      <c r="AH12" s="95" t="str">
        <f t="shared" si="106"/>
        <v>a</v>
      </c>
      <c r="AI12" s="95" t="str">
        <f t="shared" si="106"/>
        <v>n</v>
      </c>
      <c r="AJ12" s="95" t="str">
        <f t="shared" si="106"/>
        <v>d</v>
      </c>
      <c r="AK12" s="95" t="str">
        <f t="shared" si="106"/>
        <v xml:space="preserve"> </v>
      </c>
      <c r="AL12" s="95" t="str">
        <f t="shared" si="106"/>
        <v>p</v>
      </c>
      <c r="AM12" s="95" t="str">
        <f t="shared" si="106"/>
        <v>r</v>
      </c>
      <c r="AN12" s="95" t="str">
        <f t="shared" si="106"/>
        <v>i</v>
      </c>
      <c r="AO12" s="95" t="str">
        <f t="shared" si="106"/>
        <v>v</v>
      </c>
      <c r="AP12" s="95" t="str">
        <f t="shared" si="106"/>
        <v>a</v>
      </c>
      <c r="AQ12" s="95" t="str">
        <f t="shared" si="106"/>
        <v>t</v>
      </c>
      <c r="AR12" s="95" t="str">
        <f t="shared" si="106"/>
        <v>e</v>
      </c>
      <c r="AS12" s="95" t="str">
        <f t="shared" si="106"/>
        <v xml:space="preserve"> </v>
      </c>
      <c r="AT12" s="95" t="str">
        <f t="shared" si="106"/>
        <v>k</v>
      </c>
      <c r="AU12" s="95" t="str">
        <f t="shared" si="106"/>
        <v>e</v>
      </c>
      <c r="AV12" s="95" t="str">
        <f t="shared" si="106"/>
        <v>y</v>
      </c>
      <c r="AW12" s="95" t="str">
        <f t="shared" si="106"/>
        <v>s</v>
      </c>
      <c r="AX12" s="95" t="str">
        <f t="shared" si="106"/>
        <v xml:space="preserve"> </v>
      </c>
      <c r="AY12" s="95" t="str">
        <f t="shared" si="106"/>
        <v>a</v>
      </c>
      <c r="AZ12" s="95" t="str">
        <f t="shared" si="106"/>
        <v>r</v>
      </c>
      <c r="BA12" s="95" t="str">
        <f t="shared" si="106"/>
        <v>e</v>
      </c>
      <c r="BB12" s="95" t="str">
        <f t="shared" si="106"/>
        <v xml:space="preserve"> </v>
      </c>
      <c r="BC12" s="95" t="str">
        <f t="shared" si="106"/>
        <v>a</v>
      </c>
      <c r="BD12" s="95" t="str">
        <f t="shared" si="106"/>
        <v>l</v>
      </c>
      <c r="BE12" s="95" t="str">
        <f t="shared" si="106"/>
        <v>l</v>
      </c>
      <c r="BF12" s="95" t="str">
        <f t="shared" si="106"/>
        <v xml:space="preserve"> </v>
      </c>
      <c r="BG12" s="95" t="str">
        <f t="shared" si="106"/>
        <v>c</v>
      </c>
      <c r="BH12" s="95" t="str">
        <f t="shared" si="106"/>
        <v>o</v>
      </c>
      <c r="BI12" s="95" t="str">
        <f t="shared" si="106"/>
        <v>n</v>
      </c>
      <c r="BJ12" s="95" t="str">
        <f t="shared" si="106"/>
        <v>c</v>
      </c>
      <c r="BK12" s="95" t="str">
        <f t="shared" si="106"/>
        <v>e</v>
      </c>
      <c r="BL12" s="95" t="str">
        <f t="shared" si="106"/>
        <v>p</v>
      </c>
      <c r="BM12" s="95" t="str">
        <f t="shared" si="106"/>
        <v>t</v>
      </c>
      <c r="BN12" s="95" t="str">
        <f t="shared" si="106"/>
        <v>s</v>
      </c>
      <c r="BO12" s="95" t="str">
        <f t="shared" ref="BO12:DZ12" si="107">MID($B$6,BO11,1)</f>
        <v xml:space="preserve"> </v>
      </c>
      <c r="BP12" s="95" t="str">
        <f t="shared" si="107"/>
        <v>a</v>
      </c>
      <c r="BQ12" s="95" t="str">
        <f t="shared" si="107"/>
        <v>s</v>
      </c>
      <c r="BR12" s="95" t="str">
        <f t="shared" si="107"/>
        <v>s</v>
      </c>
      <c r="BS12" s="95" t="str">
        <f t="shared" si="107"/>
        <v>o</v>
      </c>
      <c r="BT12" s="95" t="str">
        <f t="shared" si="107"/>
        <v>c</v>
      </c>
      <c r="BU12" s="95" t="str">
        <f t="shared" si="107"/>
        <v>i</v>
      </c>
      <c r="BV12" s="95" t="str">
        <f t="shared" si="107"/>
        <v>a</v>
      </c>
      <c r="BW12" s="95" t="str">
        <f t="shared" si="107"/>
        <v>t</v>
      </c>
      <c r="BX12" s="95" t="str">
        <f t="shared" si="107"/>
        <v>e</v>
      </c>
      <c r="BY12" s="95" t="str">
        <f t="shared" si="107"/>
        <v>d</v>
      </c>
      <c r="BZ12" s="95" t="str">
        <f t="shared" si="107"/>
        <v xml:space="preserve"> </v>
      </c>
      <c r="CA12" s="95" t="str">
        <f t="shared" si="107"/>
        <v>w</v>
      </c>
      <c r="CB12" s="95" t="str">
        <f t="shared" si="107"/>
        <v>i</v>
      </c>
      <c r="CC12" s="95" t="str">
        <f t="shared" si="107"/>
        <v>t</v>
      </c>
      <c r="CD12" s="95" t="str">
        <f t="shared" si="107"/>
        <v>h</v>
      </c>
      <c r="CE12" s="95" t="str">
        <f t="shared" si="107"/>
        <v xml:space="preserve"> </v>
      </c>
      <c r="CF12" s="95" t="str">
        <f t="shared" si="107"/>
        <v>p</v>
      </c>
      <c r="CG12" s="95" t="str">
        <f t="shared" si="107"/>
        <v>u</v>
      </c>
      <c r="CH12" s="95" t="str">
        <f t="shared" si="107"/>
        <v>b</v>
      </c>
      <c r="CI12" s="95" t="str">
        <f t="shared" si="107"/>
        <v>l</v>
      </c>
      <c r="CJ12" s="95" t="str">
        <f t="shared" si="107"/>
        <v>i</v>
      </c>
      <c r="CK12" s="95" t="str">
        <f t="shared" si="107"/>
        <v>c</v>
      </c>
      <c r="CL12" s="95" t="str">
        <f t="shared" si="107"/>
        <v xml:space="preserve"> </v>
      </c>
      <c r="CM12" s="95" t="str">
        <f t="shared" si="107"/>
        <v>k</v>
      </c>
      <c r="CN12" s="95" t="str">
        <f t="shared" si="107"/>
        <v>e</v>
      </c>
      <c r="CO12" s="95" t="str">
        <f t="shared" si="107"/>
        <v>y</v>
      </c>
      <c r="CP12" s="95" t="str">
        <f t="shared" si="107"/>
        <v xml:space="preserve"> </v>
      </c>
      <c r="CQ12" s="95" t="str">
        <f t="shared" si="107"/>
        <v>e</v>
      </c>
      <c r="CR12" s="95" t="str">
        <f t="shared" si="107"/>
        <v>n</v>
      </c>
      <c r="CS12" s="95" t="str">
        <f t="shared" si="107"/>
        <v>c</v>
      </c>
      <c r="CT12" s="95" t="str">
        <f t="shared" si="107"/>
        <v>r</v>
      </c>
      <c r="CU12" s="95" t="str">
        <f t="shared" si="107"/>
        <v>y</v>
      </c>
      <c r="CV12" s="95" t="str">
        <f t="shared" si="107"/>
        <v>p</v>
      </c>
      <c r="CW12" s="95" t="str">
        <f t="shared" si="107"/>
        <v>t</v>
      </c>
      <c r="CX12" s="95" t="str">
        <f t="shared" si="107"/>
        <v>i</v>
      </c>
      <c r="CY12" s="95" t="str">
        <f t="shared" si="107"/>
        <v>o</v>
      </c>
      <c r="CZ12" s="95" t="str">
        <f t="shared" si="107"/>
        <v>n</v>
      </c>
      <c r="DA12" s="95" t="str">
        <f t="shared" si="107"/>
        <v xml:space="preserve"> </v>
      </c>
      <c r="DB12" s="95" t="str">
        <f t="shared" si="107"/>
        <v xml:space="preserve"> </v>
      </c>
      <c r="DC12" s="95" t="str">
        <f t="shared" si="107"/>
        <v xml:space="preserve"> </v>
      </c>
      <c r="DD12" s="95" t="str">
        <f t="shared" si="107"/>
        <v xml:space="preserve"> </v>
      </c>
      <c r="DE12" s="95" t="str">
        <f t="shared" si="107"/>
        <v xml:space="preserve"> </v>
      </c>
      <c r="DF12" s="95" t="str">
        <f t="shared" si="107"/>
        <v xml:space="preserve"> </v>
      </c>
      <c r="DG12" s="95" t="str">
        <f t="shared" si="107"/>
        <v xml:space="preserve"> </v>
      </c>
      <c r="DH12" s="95" t="str">
        <f t="shared" si="107"/>
        <v xml:space="preserve"> </v>
      </c>
      <c r="DI12" s="95" t="str">
        <f t="shared" si="107"/>
        <v xml:space="preserve"> </v>
      </c>
      <c r="DJ12" s="95" t="str">
        <f t="shared" si="107"/>
        <v xml:space="preserve"> </v>
      </c>
      <c r="DK12" s="95" t="str">
        <f t="shared" si="107"/>
        <v xml:space="preserve"> </v>
      </c>
      <c r="DL12" s="95" t="str">
        <f t="shared" si="107"/>
        <v xml:space="preserve"> </v>
      </c>
      <c r="DM12" s="95" t="str">
        <f t="shared" si="107"/>
        <v xml:space="preserve"> </v>
      </c>
      <c r="DN12" s="95" t="str">
        <f t="shared" si="107"/>
        <v xml:space="preserve"> </v>
      </c>
      <c r="DO12" s="95" t="str">
        <f t="shared" si="107"/>
        <v xml:space="preserve"> </v>
      </c>
      <c r="DP12" s="95" t="str">
        <f t="shared" si="107"/>
        <v xml:space="preserve"> </v>
      </c>
      <c r="DQ12" s="95" t="str">
        <f t="shared" si="107"/>
        <v xml:space="preserve"> </v>
      </c>
      <c r="DR12" s="95" t="str">
        <f t="shared" si="107"/>
        <v xml:space="preserve"> </v>
      </c>
      <c r="DS12" s="95" t="str">
        <f t="shared" si="107"/>
        <v xml:space="preserve"> </v>
      </c>
      <c r="DT12" s="95" t="str">
        <f t="shared" si="107"/>
        <v xml:space="preserve"> </v>
      </c>
      <c r="DU12" s="95" t="str">
        <f t="shared" si="107"/>
        <v xml:space="preserve"> </v>
      </c>
      <c r="DV12" s="95" t="str">
        <f t="shared" si="107"/>
        <v xml:space="preserve"> </v>
      </c>
      <c r="DW12" s="95" t="str">
        <f t="shared" si="107"/>
        <v xml:space="preserve"> </v>
      </c>
      <c r="DX12" s="95" t="str">
        <f t="shared" si="107"/>
        <v xml:space="preserve"> </v>
      </c>
      <c r="DY12" s="95" t="str">
        <f t="shared" si="107"/>
        <v xml:space="preserve"> </v>
      </c>
      <c r="DZ12" s="95" t="str">
        <f t="shared" si="107"/>
        <v xml:space="preserve"> </v>
      </c>
      <c r="EA12" s="95" t="str">
        <f t="shared" ref="EA12:EK12" si="108">MID($B$6,EA11,1)</f>
        <v xml:space="preserve"> </v>
      </c>
      <c r="EB12" s="95" t="str">
        <f t="shared" si="108"/>
        <v xml:space="preserve"> </v>
      </c>
      <c r="EC12" s="95" t="str">
        <f t="shared" si="108"/>
        <v xml:space="preserve"> </v>
      </c>
      <c r="ED12" s="95" t="str">
        <f t="shared" si="108"/>
        <v xml:space="preserve"> </v>
      </c>
      <c r="EE12" s="95" t="str">
        <f t="shared" si="108"/>
        <v xml:space="preserve"> </v>
      </c>
      <c r="EF12" s="95" t="str">
        <f t="shared" si="108"/>
        <v xml:space="preserve"> </v>
      </c>
      <c r="EG12" s="95" t="str">
        <f t="shared" si="108"/>
        <v xml:space="preserve"> </v>
      </c>
      <c r="EH12" s="95" t="str">
        <f t="shared" si="108"/>
        <v xml:space="preserve"> </v>
      </c>
      <c r="EI12" s="95" t="str">
        <f t="shared" si="108"/>
        <v xml:space="preserve"> </v>
      </c>
      <c r="EJ12" s="95" t="str">
        <f t="shared" si="108"/>
        <v xml:space="preserve"> </v>
      </c>
      <c r="EK12" s="95" t="str">
        <f t="shared" si="108"/>
        <v xml:space="preserve"> </v>
      </c>
    </row>
    <row r="13" spans="1:141" s="44" customFormat="1" ht="16" thickBot="1" x14ac:dyDescent="0.25">
      <c r="A13" s="96" t="s">
        <v>42</v>
      </c>
      <c r="B13" s="97" t="str">
        <f>B12</f>
        <v>a</v>
      </c>
      <c r="C13" s="96"/>
      <c r="D13" s="96"/>
      <c r="E13" s="96"/>
      <c r="F13" s="96"/>
      <c r="G13" s="96"/>
      <c r="H13" s="96"/>
      <c r="I13" s="96"/>
      <c r="J13" s="96"/>
      <c r="K13" s="96"/>
      <c r="L13" s="96"/>
      <c r="M13" s="96"/>
      <c r="N13" s="96"/>
      <c r="O13" s="96"/>
      <c r="P13" s="96"/>
      <c r="Q13" s="96"/>
      <c r="R13" s="96"/>
      <c r="S13" s="96"/>
      <c r="T13" s="96"/>
      <c r="U13" s="96"/>
      <c r="V13" s="96"/>
      <c r="W13" s="96"/>
      <c r="X13" s="96"/>
      <c r="Y13" s="96"/>
      <c r="Z13" s="96"/>
      <c r="AA13" s="96"/>
      <c r="AB13" s="96"/>
      <c r="AC13" s="96"/>
      <c r="AD13" s="96"/>
      <c r="AE13" s="96"/>
      <c r="AF13" s="96"/>
      <c r="AG13" s="96"/>
      <c r="AH13" s="96"/>
      <c r="AI13" s="96"/>
      <c r="AJ13" s="96"/>
      <c r="AK13" s="96"/>
      <c r="AL13" s="96"/>
      <c r="AM13" s="96"/>
      <c r="AN13" s="96"/>
      <c r="AO13" s="96"/>
      <c r="AP13" s="96"/>
      <c r="AQ13" s="96"/>
      <c r="AR13" s="96"/>
      <c r="AS13" s="96"/>
      <c r="AT13" s="96"/>
      <c r="AU13" s="96"/>
      <c r="AV13" s="96"/>
      <c r="AW13" s="96"/>
      <c r="AX13" s="96"/>
      <c r="AY13" s="96"/>
      <c r="AZ13" s="96"/>
      <c r="BA13" s="96"/>
      <c r="BB13" s="96"/>
      <c r="BC13" s="96"/>
      <c r="BD13" s="96"/>
      <c r="BE13" s="96"/>
      <c r="BF13" s="96"/>
      <c r="BG13" s="96"/>
      <c r="BH13" s="96"/>
      <c r="BI13" s="96"/>
      <c r="BJ13" s="96"/>
      <c r="BK13" s="96"/>
      <c r="BL13" s="96"/>
      <c r="BM13" s="96"/>
      <c r="BN13" s="96"/>
      <c r="BO13" s="96"/>
      <c r="BP13" s="96"/>
      <c r="BQ13" s="96"/>
      <c r="BR13" s="96"/>
      <c r="BS13" s="96"/>
      <c r="BT13" s="96"/>
      <c r="BU13" s="96"/>
      <c r="BV13" s="96"/>
      <c r="BW13" s="96"/>
      <c r="BX13" s="96"/>
      <c r="BY13" s="96"/>
      <c r="BZ13" s="96"/>
      <c r="CA13" s="96"/>
      <c r="CB13" s="96"/>
      <c r="CC13" s="96"/>
      <c r="CD13" s="96"/>
      <c r="CE13" s="96"/>
      <c r="CF13" s="96"/>
      <c r="CG13" s="96"/>
      <c r="CH13" s="96"/>
      <c r="CI13" s="96"/>
      <c r="CJ13" s="96"/>
      <c r="CK13" s="96"/>
      <c r="CL13" s="96"/>
      <c r="CM13" s="96"/>
      <c r="CN13" s="96"/>
      <c r="CO13" s="96"/>
      <c r="CP13" s="96"/>
      <c r="CQ13" s="96"/>
      <c r="CR13" s="96"/>
      <c r="CS13" s="96"/>
      <c r="CT13" s="96"/>
      <c r="CU13" s="96"/>
      <c r="CV13" s="96"/>
      <c r="CW13" s="96"/>
      <c r="CX13" s="96"/>
      <c r="CY13" s="96"/>
      <c r="CZ13" s="96"/>
      <c r="DA13" s="96"/>
      <c r="DB13" s="96"/>
      <c r="DC13" s="96"/>
      <c r="DD13" s="96"/>
      <c r="DE13" s="96"/>
      <c r="DF13" s="96"/>
      <c r="DG13" s="96"/>
      <c r="DH13" s="96"/>
      <c r="DI13" s="96"/>
      <c r="DJ13" s="96"/>
      <c r="DK13" s="96"/>
      <c r="DL13" s="96"/>
      <c r="DM13" s="96"/>
      <c r="DN13" s="96"/>
      <c r="DO13" s="96"/>
      <c r="DP13" s="96"/>
      <c r="DQ13" s="96"/>
      <c r="DR13" s="96"/>
      <c r="DS13" s="96"/>
      <c r="DT13" s="96"/>
      <c r="DU13" s="96"/>
      <c r="DV13" s="96"/>
      <c r="DW13" s="96"/>
      <c r="DX13" s="96"/>
      <c r="DY13" s="96"/>
      <c r="DZ13" s="96"/>
      <c r="EA13" s="96"/>
      <c r="EB13" s="96"/>
      <c r="EC13" s="96"/>
      <c r="ED13" s="96"/>
      <c r="EE13" s="96"/>
      <c r="EF13" s="96"/>
      <c r="EG13" s="96"/>
      <c r="EH13" s="96"/>
      <c r="EI13" s="96"/>
      <c r="EJ13" s="96"/>
      <c r="EK13" s="96"/>
    </row>
    <row r="14" spans="1:141" s="8" customFormat="1" ht="16" thickBot="1" x14ac:dyDescent="0.25">
      <c r="A14" s="8" t="s">
        <v>43</v>
      </c>
      <c r="B14" s="105" t="str">
        <f>_xlfn.CONCAT(B12:EK12)</f>
        <v xml:space="preserve">asymmetric keys and public keys and private keys are all concepts associated with public key encryption                                     </v>
      </c>
      <c r="C14" s="106"/>
      <c r="D14" s="106"/>
      <c r="E14" s="106"/>
      <c r="F14" s="106"/>
      <c r="G14" s="106"/>
      <c r="H14" s="106"/>
      <c r="I14" s="106"/>
      <c r="J14" s="106"/>
      <c r="K14" s="106"/>
      <c r="L14" s="106"/>
      <c r="M14" s="106"/>
      <c r="N14" s="106"/>
      <c r="O14" s="106"/>
      <c r="P14" s="106"/>
      <c r="Q14" s="107"/>
    </row>
    <row r="15" spans="1:141" s="27" customFormat="1" ht="16" thickBot="1" x14ac:dyDescent="0.25">
      <c r="A15" s="29"/>
      <c r="B15" s="62">
        <f>LEN(B8)</f>
        <v>140</v>
      </c>
      <c r="D15" s="62">
        <f>LEN(B14)</f>
        <v>140</v>
      </c>
      <c r="F15" s="29"/>
    </row>
    <row r="16" spans="1:141" ht="16" thickBot="1" x14ac:dyDescent="0.25">
      <c r="A16" t="s">
        <v>44</v>
      </c>
      <c r="B16" s="102" t="s">
        <v>45</v>
      </c>
      <c r="C16" s="103"/>
      <c r="D16" s="103"/>
      <c r="E16" s="103"/>
      <c r="F16" s="103"/>
      <c r="G16" s="103"/>
      <c r="H16" s="103"/>
      <c r="I16" s="103"/>
      <c r="J16" s="103"/>
      <c r="K16" s="103"/>
      <c r="L16" s="103"/>
      <c r="M16" s="103"/>
      <c r="N16" s="103"/>
      <c r="O16" s="103"/>
      <c r="P16" s="103"/>
      <c r="Q16" s="104"/>
    </row>
    <row r="17" spans="1:17" ht="16" thickBot="1" x14ac:dyDescent="0.25">
      <c r="A17" t="s">
        <v>46</v>
      </c>
      <c r="B17" s="102" t="s">
        <v>38</v>
      </c>
      <c r="C17" s="103"/>
      <c r="D17" s="103"/>
      <c r="E17" s="103"/>
      <c r="F17" s="103"/>
      <c r="G17" s="103"/>
      <c r="H17" s="103"/>
      <c r="I17" s="103"/>
      <c r="J17" s="103"/>
      <c r="K17" s="103"/>
      <c r="L17" s="103"/>
      <c r="M17" s="103"/>
      <c r="N17" s="103"/>
      <c r="O17" s="103"/>
      <c r="P17" s="103"/>
      <c r="Q17" s="104"/>
    </row>
    <row r="18" spans="1:17" ht="16" thickBot="1" x14ac:dyDescent="0.25">
      <c r="A18" t="s">
        <v>47</v>
      </c>
      <c r="B18" s="102" t="s">
        <v>48</v>
      </c>
      <c r="C18" s="103"/>
      <c r="D18" s="103"/>
      <c r="E18" s="103"/>
      <c r="F18" s="103"/>
      <c r="G18" s="103"/>
      <c r="H18" s="103"/>
      <c r="I18" s="103"/>
      <c r="J18" s="103"/>
      <c r="K18" s="103"/>
      <c r="L18" s="103"/>
      <c r="M18" s="103"/>
      <c r="N18" s="103"/>
      <c r="O18" s="103"/>
      <c r="P18" s="103"/>
      <c r="Q18" s="104"/>
    </row>
    <row r="19" spans="1:17" ht="16" thickBot="1" x14ac:dyDescent="0.25">
      <c r="A19" t="s">
        <v>49</v>
      </c>
      <c r="B19" s="102" t="s">
        <v>90</v>
      </c>
      <c r="C19" s="103"/>
      <c r="D19" s="103"/>
      <c r="E19" s="103"/>
      <c r="F19" s="103"/>
      <c r="G19" s="103"/>
      <c r="H19" s="103"/>
      <c r="I19" s="103"/>
      <c r="J19" s="103"/>
      <c r="K19" s="103"/>
      <c r="L19" s="103"/>
      <c r="M19" s="103"/>
      <c r="N19" s="103"/>
      <c r="O19" s="103"/>
      <c r="P19" s="103"/>
      <c r="Q19" s="104"/>
    </row>
    <row r="20" spans="1:17" ht="16" thickBot="1" x14ac:dyDescent="0.25">
      <c r="A20" t="s">
        <v>50</v>
      </c>
      <c r="B20" s="102" t="s">
        <v>89</v>
      </c>
      <c r="C20" s="103"/>
      <c r="D20" s="103"/>
      <c r="E20" s="103"/>
      <c r="F20" s="103"/>
      <c r="G20" s="103"/>
      <c r="H20" s="103"/>
      <c r="I20" s="103"/>
      <c r="J20" s="103"/>
      <c r="K20" s="103"/>
      <c r="L20" s="103"/>
      <c r="M20" s="103"/>
      <c r="N20" s="103"/>
      <c r="O20" s="103"/>
      <c r="P20" s="103"/>
      <c r="Q20" s="104"/>
    </row>
    <row r="21" spans="1:17" ht="16" thickBot="1" x14ac:dyDescent="0.25">
      <c r="A21" t="s">
        <v>101</v>
      </c>
      <c r="B21" s="102" t="s">
        <v>102</v>
      </c>
      <c r="C21" s="103"/>
      <c r="D21" s="103"/>
      <c r="E21" s="103"/>
      <c r="F21" s="103"/>
      <c r="G21" s="103"/>
      <c r="H21" s="103"/>
      <c r="I21" s="103"/>
      <c r="J21" s="103"/>
      <c r="K21" s="103"/>
      <c r="L21" s="103"/>
      <c r="M21" s="103"/>
      <c r="N21" s="103"/>
      <c r="O21" s="103"/>
      <c r="P21" s="103"/>
      <c r="Q21" s="104"/>
    </row>
    <row r="22" spans="1:17" ht="16" thickBot="1" x14ac:dyDescent="0.25">
      <c r="A22" t="s">
        <v>51</v>
      </c>
      <c r="B22" s="102" t="s">
        <v>91</v>
      </c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4"/>
    </row>
    <row r="23" spans="1:17" ht="16" thickBot="1" x14ac:dyDescent="0.25">
      <c r="A23" t="s">
        <v>52</v>
      </c>
      <c r="B23" s="102" t="s">
        <v>53</v>
      </c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4"/>
    </row>
    <row r="24" spans="1:17" ht="16" thickBot="1" x14ac:dyDescent="0.25">
      <c r="A24" t="s">
        <v>54</v>
      </c>
      <c r="B24" s="102" t="s">
        <v>55</v>
      </c>
      <c r="C24" s="103"/>
      <c r="D24" s="103"/>
      <c r="E24" s="103"/>
      <c r="F24" s="103"/>
      <c r="G24" s="103"/>
      <c r="H24" s="103"/>
      <c r="I24" s="103"/>
      <c r="J24" s="103"/>
      <c r="K24" s="103"/>
      <c r="L24" s="103"/>
      <c r="M24" s="103"/>
      <c r="N24" s="103"/>
      <c r="O24" s="103"/>
      <c r="P24" s="103"/>
      <c r="Q24" s="104"/>
    </row>
    <row r="25" spans="1:17" ht="16" thickBot="1" x14ac:dyDescent="0.25">
      <c r="A25" t="s">
        <v>56</v>
      </c>
      <c r="B25" s="102" t="s">
        <v>57</v>
      </c>
      <c r="C25" s="103"/>
      <c r="D25" s="103"/>
      <c r="E25" s="103"/>
      <c r="F25" s="103"/>
      <c r="G25" s="103"/>
      <c r="H25" s="103"/>
      <c r="I25" s="103"/>
      <c r="J25" s="103"/>
      <c r="K25" s="103"/>
      <c r="L25" s="103"/>
      <c r="M25" s="103"/>
      <c r="N25" s="103"/>
      <c r="O25" s="103"/>
      <c r="P25" s="103"/>
      <c r="Q25" s="104"/>
    </row>
    <row r="26" spans="1:17" ht="16" thickBot="1" x14ac:dyDescent="0.25">
      <c r="A26" t="s">
        <v>109</v>
      </c>
      <c r="B26" s="99" t="s">
        <v>112</v>
      </c>
      <c r="C26" s="100"/>
      <c r="D26" s="100"/>
      <c r="E26" s="100"/>
      <c r="F26" s="100"/>
      <c r="G26" s="100"/>
      <c r="H26" s="100"/>
      <c r="I26" s="100"/>
      <c r="J26" s="100"/>
      <c r="K26" s="100"/>
      <c r="L26" s="100"/>
      <c r="M26" s="100"/>
      <c r="N26" s="100"/>
      <c r="O26" s="100"/>
      <c r="P26" s="100"/>
      <c r="Q26" s="101"/>
    </row>
    <row r="27" spans="1:17" ht="16" thickBot="1" x14ac:dyDescent="0.25">
      <c r="A27" t="s">
        <v>110</v>
      </c>
      <c r="B27" s="99" t="s">
        <v>111</v>
      </c>
      <c r="C27" s="100"/>
      <c r="D27" s="100"/>
      <c r="E27" s="100"/>
      <c r="F27" s="100"/>
      <c r="G27" s="100"/>
      <c r="H27" s="100"/>
      <c r="I27" s="100"/>
      <c r="J27" s="100"/>
      <c r="K27" s="100"/>
      <c r="L27" s="100"/>
      <c r="M27" s="100"/>
      <c r="N27" s="100"/>
      <c r="O27" s="100"/>
      <c r="P27" s="100"/>
      <c r="Q27" s="101"/>
    </row>
    <row r="28" spans="1:17" x14ac:dyDescent="0.2">
      <c r="A28" s="45"/>
    </row>
  </sheetData>
  <sheetProtection formatCells="0" formatColumns="0" formatRows="0"/>
  <mergeCells count="14">
    <mergeCell ref="B26:Q26"/>
    <mergeCell ref="B27:Q27"/>
    <mergeCell ref="B25:Q25"/>
    <mergeCell ref="B8:Q8"/>
    <mergeCell ref="B14:Q14"/>
    <mergeCell ref="B16:Q16"/>
    <mergeCell ref="B17:Q17"/>
    <mergeCell ref="B18:Q18"/>
    <mergeCell ref="B19:Q19"/>
    <mergeCell ref="B20:Q20"/>
    <mergeCell ref="B21:Q21"/>
    <mergeCell ref="B22:Q22"/>
    <mergeCell ref="B23:Q23"/>
    <mergeCell ref="B24:Q24"/>
  </mergeCells>
  <printOptions gridLines="1"/>
  <pageMargins left="0.25" right="0.25" top="0.75" bottom="0.75" header="0.3" footer="0.3"/>
  <pageSetup orientation="landscape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143ABD-A5FC-4355-8AD8-7ADD2A271916}">
  <sheetPr codeName="Sheet6"/>
  <dimension ref="A1:C6"/>
  <sheetViews>
    <sheetView workbookViewId="0">
      <selection activeCell="F2" sqref="F2"/>
    </sheetView>
  </sheetViews>
  <sheetFormatPr baseColWidth="10" defaultColWidth="8.83203125" defaultRowHeight="15" x14ac:dyDescent="0.2"/>
  <cols>
    <col min="1" max="1" width="25.6640625" customWidth="1"/>
    <col min="2" max="2" width="63.83203125" customWidth="1"/>
    <col min="3" max="3" width="40.5" customWidth="1"/>
  </cols>
  <sheetData>
    <row r="1" spans="1:3" ht="16" thickBot="1" x14ac:dyDescent="0.25">
      <c r="A1" s="26">
        <f ca="1">NOW()</f>
        <v>45701.506987731482</v>
      </c>
      <c r="B1" s="30" t="s">
        <v>25</v>
      </c>
    </row>
    <row r="2" spans="1:3" ht="251.25" customHeight="1" thickBot="1" x14ac:dyDescent="0.25">
      <c r="B2" s="34" t="s">
        <v>24</v>
      </c>
      <c r="C2" s="31" t="s">
        <v>81</v>
      </c>
    </row>
    <row r="4" spans="1:3" s="32" customFormat="1" ht="22.5" customHeight="1" x14ac:dyDescent="0.2">
      <c r="A4" s="31" t="s">
        <v>26</v>
      </c>
      <c r="B4" s="33" t="s">
        <v>27</v>
      </c>
    </row>
    <row r="5" spans="1:3" s="32" customFormat="1" ht="22.5" customHeight="1" x14ac:dyDescent="0.2">
      <c r="A5" s="31" t="s">
        <v>28</v>
      </c>
      <c r="B5" s="33" t="s">
        <v>29</v>
      </c>
    </row>
    <row r="6" spans="1:3" x14ac:dyDescent="0.2">
      <c r="A6" s="59"/>
      <c r="B6" s="1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20213C-598B-45A2-8453-FEFA4B65DA0D}">
  <sheetPr codeName="Sheet8">
    <tabColor rgb="FFFFFF00"/>
  </sheetPr>
  <dimension ref="A1:V49"/>
  <sheetViews>
    <sheetView tabSelected="1" workbookViewId="0">
      <selection activeCell="R5" sqref="R5"/>
    </sheetView>
  </sheetViews>
  <sheetFormatPr baseColWidth="10" defaultColWidth="8.83203125" defaultRowHeight="15" x14ac:dyDescent="0.2"/>
  <cols>
    <col min="1" max="1" width="24.5" customWidth="1"/>
    <col min="2" max="17" width="6.33203125" customWidth="1"/>
    <col min="18" max="18" width="16.1640625" customWidth="1"/>
    <col min="19" max="21" width="6.33203125" customWidth="1"/>
    <col min="22" max="22" width="33.5" customWidth="1"/>
  </cols>
  <sheetData>
    <row r="1" spans="1:22" s="27" customFormat="1" x14ac:dyDescent="0.2">
      <c r="A1" s="27" t="s">
        <v>58</v>
      </c>
      <c r="F1" s="29" t="s">
        <v>113</v>
      </c>
      <c r="G1" s="27" t="s">
        <v>92</v>
      </c>
      <c r="Q1" s="29" t="s">
        <v>114</v>
      </c>
      <c r="R1" s="28" t="s">
        <v>92</v>
      </c>
      <c r="V1" s="65"/>
    </row>
    <row r="2" spans="1:22" s="27" customFormat="1" x14ac:dyDescent="0.2">
      <c r="A2" s="60"/>
      <c r="R2" s="28"/>
      <c r="S2" s="27" t="s">
        <v>92</v>
      </c>
    </row>
    <row r="3" spans="1:22" s="27" customFormat="1" x14ac:dyDescent="0.2">
      <c r="A3" s="46" t="s">
        <v>88</v>
      </c>
      <c r="B3" s="68" t="s">
        <v>122</v>
      </c>
      <c r="C3" s="67" t="s">
        <v>122</v>
      </c>
      <c r="D3" s="66" t="s">
        <v>123</v>
      </c>
      <c r="E3" s="68" t="s">
        <v>122</v>
      </c>
      <c r="F3" s="67" t="s">
        <v>122</v>
      </c>
      <c r="G3" s="66" t="s">
        <v>123</v>
      </c>
      <c r="H3" s="68" t="s">
        <v>122</v>
      </c>
      <c r="I3" s="67" t="s">
        <v>122</v>
      </c>
      <c r="J3" s="66" t="s">
        <v>123</v>
      </c>
      <c r="K3" s="68" t="s">
        <v>122</v>
      </c>
      <c r="L3" s="67" t="s">
        <v>122</v>
      </c>
      <c r="M3" s="66" t="s">
        <v>123</v>
      </c>
      <c r="N3" s="68" t="s">
        <v>122</v>
      </c>
      <c r="O3" s="67" t="s">
        <v>122</v>
      </c>
      <c r="P3" s="66" t="s">
        <v>123</v>
      </c>
      <c r="Q3" s="68" t="s">
        <v>122</v>
      </c>
      <c r="R3" s="88" t="str">
        <f>IF(COUNTA(C8,E8,G8,I8,K8,M8,O8),"WARNING, odd position cells in row 8 should be empty","")</f>
        <v/>
      </c>
    </row>
    <row r="4" spans="1:22" s="27" customFormat="1" ht="16" thickBot="1" x14ac:dyDescent="0.25">
      <c r="A4" s="46" t="s">
        <v>86</v>
      </c>
      <c r="B4" s="71">
        <v>16</v>
      </c>
      <c r="C4" s="70">
        <v>15</v>
      </c>
      <c r="D4" s="69">
        <v>14</v>
      </c>
      <c r="E4" s="71">
        <v>13</v>
      </c>
      <c r="F4" s="70">
        <v>12</v>
      </c>
      <c r="G4" s="69">
        <v>11</v>
      </c>
      <c r="H4" s="71">
        <v>10</v>
      </c>
      <c r="I4" s="70">
        <v>9</v>
      </c>
      <c r="J4" s="69">
        <v>8</v>
      </c>
      <c r="K4" s="71">
        <v>7</v>
      </c>
      <c r="L4" s="70">
        <v>6</v>
      </c>
      <c r="M4" s="69">
        <v>5</v>
      </c>
      <c r="N4" s="71">
        <v>4</v>
      </c>
      <c r="O4" s="70">
        <v>3</v>
      </c>
      <c r="P4" s="69">
        <v>2</v>
      </c>
      <c r="Q4" s="71">
        <v>1</v>
      </c>
      <c r="R4" s="88" t="str">
        <f>IF(COUNTA(B9,D9,F9,H9,J9,L9,N9,P9),"WARNING, even position cells in row 9 should be empty","")</f>
        <v/>
      </c>
    </row>
    <row r="5" spans="1:22" s="27" customFormat="1" ht="37.5" customHeight="1" thickTop="1" thickBot="1" x14ac:dyDescent="0.25">
      <c r="A5" s="46" t="s">
        <v>59</v>
      </c>
      <c r="B5" s="83">
        <v>2</v>
      </c>
      <c r="C5" s="84">
        <v>2</v>
      </c>
      <c r="D5" s="84">
        <v>2</v>
      </c>
      <c r="E5" s="84">
        <v>1</v>
      </c>
      <c r="F5" s="81">
        <v>4</v>
      </c>
      <c r="G5" s="81">
        <v>5</v>
      </c>
      <c r="H5" s="81">
        <v>2</v>
      </c>
      <c r="I5" s="81">
        <v>3</v>
      </c>
      <c r="J5" s="81">
        <v>5</v>
      </c>
      <c r="K5" s="81">
        <v>2</v>
      </c>
      <c r="L5" s="81">
        <v>8</v>
      </c>
      <c r="M5" s="81">
        <v>1</v>
      </c>
      <c r="N5" s="81">
        <v>0</v>
      </c>
      <c r="O5" s="81">
        <v>2</v>
      </c>
      <c r="P5" s="82">
        <v>3</v>
      </c>
      <c r="Q5" s="61">
        <f>S9</f>
        <v>0</v>
      </c>
      <c r="R5" s="73" t="s">
        <v>92</v>
      </c>
      <c r="S5" s="29"/>
      <c r="T5" s="27" t="s">
        <v>92</v>
      </c>
    </row>
    <row r="6" spans="1:22" s="27" customFormat="1" ht="16" thickTop="1" x14ac:dyDescent="0.2">
      <c r="A6" s="46" t="s">
        <v>60</v>
      </c>
      <c r="B6" s="64">
        <f>B5*2</f>
        <v>4</v>
      </c>
      <c r="C6" s="64">
        <f t="shared" ref="C6:P6" si="0">C5*2</f>
        <v>4</v>
      </c>
      <c r="D6" s="64">
        <f t="shared" si="0"/>
        <v>4</v>
      </c>
      <c r="E6" s="64">
        <f t="shared" si="0"/>
        <v>2</v>
      </c>
      <c r="F6" s="64">
        <f t="shared" si="0"/>
        <v>8</v>
      </c>
      <c r="G6" s="64">
        <f t="shared" si="0"/>
        <v>10</v>
      </c>
      <c r="H6" s="64">
        <f t="shared" si="0"/>
        <v>4</v>
      </c>
      <c r="I6" s="64">
        <f t="shared" si="0"/>
        <v>6</v>
      </c>
      <c r="J6" s="64">
        <f t="shared" si="0"/>
        <v>10</v>
      </c>
      <c r="K6" s="64">
        <f t="shared" si="0"/>
        <v>4</v>
      </c>
      <c r="L6" s="64">
        <f t="shared" si="0"/>
        <v>16</v>
      </c>
      <c r="M6" s="64">
        <f t="shared" si="0"/>
        <v>2</v>
      </c>
      <c r="N6" s="64">
        <f t="shared" si="0"/>
        <v>0</v>
      </c>
      <c r="O6" s="64">
        <f t="shared" si="0"/>
        <v>4</v>
      </c>
      <c r="P6" s="64">
        <f t="shared" si="0"/>
        <v>6</v>
      </c>
      <c r="Q6" s="76"/>
      <c r="R6" s="85" t="s">
        <v>100</v>
      </c>
    </row>
    <row r="7" spans="1:22" s="27" customFormat="1" x14ac:dyDescent="0.2">
      <c r="A7" s="46" t="s">
        <v>84</v>
      </c>
      <c r="B7" s="64" t="b">
        <f>IF(B6&gt;9,TRUE,FALSE)</f>
        <v>0</v>
      </c>
      <c r="C7" s="64" t="b">
        <f t="shared" ref="C7:P7" si="1">IF(C6&gt;9,TRUE,FALSE)</f>
        <v>0</v>
      </c>
      <c r="D7" s="64" t="b">
        <f t="shared" si="1"/>
        <v>0</v>
      </c>
      <c r="E7" s="64" t="b">
        <f t="shared" si="1"/>
        <v>0</v>
      </c>
      <c r="F7" s="64" t="b">
        <f t="shared" si="1"/>
        <v>0</v>
      </c>
      <c r="G7" s="64" t="b">
        <f t="shared" si="1"/>
        <v>1</v>
      </c>
      <c r="H7" s="64" t="b">
        <f t="shared" si="1"/>
        <v>0</v>
      </c>
      <c r="I7" s="64" t="b">
        <f t="shared" si="1"/>
        <v>0</v>
      </c>
      <c r="J7" s="64" t="b">
        <f t="shared" si="1"/>
        <v>1</v>
      </c>
      <c r="K7" s="64" t="b">
        <f t="shared" si="1"/>
        <v>0</v>
      </c>
      <c r="L7" s="64" t="b">
        <f t="shared" si="1"/>
        <v>1</v>
      </c>
      <c r="M7" s="64" t="b">
        <f t="shared" si="1"/>
        <v>0</v>
      </c>
      <c r="N7" s="64" t="b">
        <f t="shared" si="1"/>
        <v>0</v>
      </c>
      <c r="O7" s="64" t="b">
        <f t="shared" si="1"/>
        <v>0</v>
      </c>
      <c r="P7" s="64" t="b">
        <f t="shared" si="1"/>
        <v>0</v>
      </c>
      <c r="Q7" s="76"/>
      <c r="R7" s="29" t="s">
        <v>113</v>
      </c>
      <c r="S7" s="27" t="s">
        <v>92</v>
      </c>
    </row>
    <row r="8" spans="1:22" s="27" customFormat="1" x14ac:dyDescent="0.2">
      <c r="A8" s="46" t="s">
        <v>85</v>
      </c>
      <c r="B8" s="75">
        <f>IF(B6&gt;9,B6-9,B6)</f>
        <v>4</v>
      </c>
      <c r="C8" s="77"/>
      <c r="D8" s="75">
        <f>IF(D6&gt;9,D6-9,D6)</f>
        <v>4</v>
      </c>
      <c r="E8" s="77"/>
      <c r="F8" s="75">
        <f>IF(F6&gt;9,F6-9,F6)</f>
        <v>8</v>
      </c>
      <c r="G8" s="77"/>
      <c r="H8" s="75">
        <f>IF(H6&gt;9,H6-9,H6)</f>
        <v>4</v>
      </c>
      <c r="I8" s="77"/>
      <c r="J8" s="75">
        <f>IF(J6&gt;9,J6-9,J6)</f>
        <v>1</v>
      </c>
      <c r="K8" s="77"/>
      <c r="L8" s="75">
        <f>IF(L6&gt;9,L6-9,L6)</f>
        <v>7</v>
      </c>
      <c r="M8" s="77"/>
      <c r="N8" s="75">
        <f>IF(N6&gt;9,N6-9,N6)</f>
        <v>0</v>
      </c>
      <c r="O8" s="77"/>
      <c r="P8" s="75">
        <f>IF(P6&gt;9,P6-9,P6)</f>
        <v>6</v>
      </c>
      <c r="Q8" s="76"/>
      <c r="R8" s="46" t="s">
        <v>61</v>
      </c>
      <c r="S8" s="47">
        <f>SUM(B8:P9)</f>
        <v>50</v>
      </c>
    </row>
    <row r="9" spans="1:22" s="27" customFormat="1" x14ac:dyDescent="0.2">
      <c r="A9" s="46" t="s">
        <v>62</v>
      </c>
      <c r="B9" s="78"/>
      <c r="C9" s="48">
        <f>C5</f>
        <v>2</v>
      </c>
      <c r="D9" s="77"/>
      <c r="E9" s="48">
        <f>E5</f>
        <v>1</v>
      </c>
      <c r="F9" s="77"/>
      <c r="G9" s="48">
        <f>G5</f>
        <v>5</v>
      </c>
      <c r="H9" s="77"/>
      <c r="I9" s="48">
        <f>I5</f>
        <v>3</v>
      </c>
      <c r="J9" s="77"/>
      <c r="K9" s="48">
        <f>K5</f>
        <v>2</v>
      </c>
      <c r="L9" s="77"/>
      <c r="M9" s="48">
        <f>M5</f>
        <v>1</v>
      </c>
      <c r="N9" s="77"/>
      <c r="O9" s="48">
        <f>O5</f>
        <v>2</v>
      </c>
      <c r="P9" s="77"/>
      <c r="Q9" s="76"/>
      <c r="R9" s="46" t="s">
        <v>63</v>
      </c>
      <c r="S9" s="48">
        <f>MOD(S8*9,10)</f>
        <v>0</v>
      </c>
    </row>
    <row r="10" spans="1:22" s="27" customFormat="1" x14ac:dyDescent="0.2">
      <c r="A10" s="74"/>
      <c r="B10" s="29" t="s">
        <v>114</v>
      </c>
      <c r="C10" s="27" t="s">
        <v>92</v>
      </c>
      <c r="Q10" s="29"/>
      <c r="R10" s="27" t="s">
        <v>80</v>
      </c>
    </row>
    <row r="11" spans="1:22" x14ac:dyDescent="0.2">
      <c r="B11" s="49" t="s">
        <v>64</v>
      </c>
    </row>
    <row r="12" spans="1:22" ht="30" customHeight="1" x14ac:dyDescent="0.2">
      <c r="B12" s="50" t="s">
        <v>65</v>
      </c>
      <c r="C12" s="109" t="s">
        <v>107</v>
      </c>
      <c r="D12" s="109"/>
      <c r="E12" s="109"/>
      <c r="F12" s="109"/>
      <c r="G12" s="109"/>
      <c r="H12" s="109"/>
      <c r="I12" s="109"/>
      <c r="J12" s="109"/>
      <c r="K12" s="109"/>
      <c r="L12" s="109"/>
      <c r="M12" s="109"/>
      <c r="N12" s="109"/>
      <c r="O12" s="109"/>
      <c r="P12" s="109"/>
      <c r="Q12" s="109"/>
      <c r="R12" s="109"/>
      <c r="S12" s="109"/>
    </row>
    <row r="13" spans="1:22" ht="30" customHeight="1" x14ac:dyDescent="0.2">
      <c r="B13" s="87" t="s">
        <v>66</v>
      </c>
      <c r="C13" s="110" t="s">
        <v>94</v>
      </c>
      <c r="D13" s="110"/>
      <c r="E13" s="110"/>
      <c r="F13" s="110"/>
      <c r="G13" s="110"/>
      <c r="H13" s="110"/>
      <c r="I13" s="110"/>
      <c r="J13" s="110"/>
      <c r="K13" s="110"/>
      <c r="L13" s="110"/>
      <c r="M13" s="110"/>
      <c r="N13" s="110"/>
      <c r="O13" s="110"/>
      <c r="P13" s="110"/>
      <c r="Q13" s="110"/>
      <c r="R13" s="110"/>
      <c r="S13" s="110"/>
    </row>
    <row r="14" spans="1:22" ht="30" customHeight="1" x14ac:dyDescent="0.2">
      <c r="B14" s="87" t="s">
        <v>67</v>
      </c>
      <c r="C14" s="110" t="s">
        <v>95</v>
      </c>
      <c r="D14" s="110"/>
      <c r="E14" s="110"/>
      <c r="F14" s="110"/>
      <c r="G14" s="110"/>
      <c r="H14" s="110"/>
      <c r="I14" s="110"/>
      <c r="J14" s="110"/>
      <c r="K14" s="110"/>
      <c r="L14" s="110"/>
      <c r="M14" s="110"/>
      <c r="N14" s="110"/>
      <c r="O14" s="110"/>
      <c r="P14" s="110"/>
      <c r="Q14" s="110"/>
      <c r="R14" s="110"/>
      <c r="S14" s="110"/>
    </row>
    <row r="15" spans="1:22" ht="45.75" customHeight="1" x14ac:dyDescent="0.2">
      <c r="A15" s="53" t="s">
        <v>68</v>
      </c>
      <c r="B15" s="51" t="s">
        <v>69</v>
      </c>
      <c r="C15" s="111" t="s">
        <v>96</v>
      </c>
      <c r="D15" s="111"/>
      <c r="E15" s="111"/>
      <c r="F15" s="111"/>
      <c r="G15" s="111"/>
      <c r="H15" s="111"/>
      <c r="I15" s="111"/>
      <c r="J15" s="111"/>
      <c r="K15" s="111"/>
      <c r="L15" s="111"/>
      <c r="M15" s="111"/>
      <c r="N15" s="111"/>
      <c r="O15" s="111"/>
      <c r="P15" s="111"/>
      <c r="Q15" s="111"/>
      <c r="R15" s="111"/>
      <c r="S15" s="111"/>
    </row>
    <row r="16" spans="1:22" ht="30.75" customHeight="1" x14ac:dyDescent="0.2">
      <c r="B16" s="52" t="s">
        <v>70</v>
      </c>
      <c r="C16" s="112" t="s">
        <v>97</v>
      </c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</row>
    <row r="17" spans="1:19" x14ac:dyDescent="0.2">
      <c r="B17" s="51" t="s">
        <v>71</v>
      </c>
      <c r="C17" s="113" t="s">
        <v>98</v>
      </c>
      <c r="D17" s="113"/>
      <c r="E17" s="113"/>
      <c r="F17" s="113"/>
      <c r="G17" s="113"/>
      <c r="H17" s="113"/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</row>
    <row r="18" spans="1:19" x14ac:dyDescent="0.2">
      <c r="B18" s="50" t="s">
        <v>65</v>
      </c>
      <c r="C18" s="54" t="s">
        <v>72</v>
      </c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</row>
    <row r="19" spans="1:19" x14ac:dyDescent="0.2">
      <c r="B19" s="52" t="s">
        <v>73</v>
      </c>
      <c r="C19" s="108" t="s">
        <v>99</v>
      </c>
      <c r="D19" s="108"/>
      <c r="E19" s="108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</row>
    <row r="20" spans="1:19" x14ac:dyDescent="0.2">
      <c r="C20" t="s">
        <v>92</v>
      </c>
      <c r="D20" s="1"/>
      <c r="E20" t="s">
        <v>92</v>
      </c>
    </row>
    <row r="21" spans="1:19" x14ac:dyDescent="0.2">
      <c r="A21" s="49" t="s">
        <v>74</v>
      </c>
      <c r="B21" s="79">
        <v>5</v>
      </c>
      <c r="C21" s="80">
        <v>4</v>
      </c>
      <c r="D21" s="81">
        <v>5</v>
      </c>
      <c r="E21" s="81">
        <v>7</v>
      </c>
      <c r="F21" s="81">
        <v>6</v>
      </c>
      <c r="G21" s="81">
        <v>2</v>
      </c>
      <c r="H21" s="81">
        <v>3</v>
      </c>
      <c r="I21" s="81">
        <v>8</v>
      </c>
      <c r="J21" s="81">
        <v>9</v>
      </c>
      <c r="K21" s="81">
        <v>8</v>
      </c>
      <c r="L21" s="81">
        <v>2</v>
      </c>
      <c r="M21" s="81">
        <v>3</v>
      </c>
      <c r="N21" s="81">
        <v>4</v>
      </c>
      <c r="O21" s="81">
        <v>1</v>
      </c>
      <c r="P21" s="82">
        <v>1</v>
      </c>
      <c r="Q21" s="89"/>
      <c r="R21" s="56"/>
    </row>
    <row r="22" spans="1:19" x14ac:dyDescent="0.2">
      <c r="A22" s="49" t="s">
        <v>75</v>
      </c>
      <c r="B22" s="83">
        <v>5</v>
      </c>
      <c r="C22" s="84">
        <v>1</v>
      </c>
      <c r="D22" s="81">
        <v>2</v>
      </c>
      <c r="E22" s="81">
        <v>1</v>
      </c>
      <c r="F22" s="81">
        <v>5</v>
      </c>
      <c r="G22" s="81">
        <v>4</v>
      </c>
      <c r="H22" s="81">
        <v>1</v>
      </c>
      <c r="I22" s="81">
        <v>3</v>
      </c>
      <c r="J22" s="81">
        <v>6</v>
      </c>
      <c r="K22" s="81">
        <v>7</v>
      </c>
      <c r="L22" s="81">
        <v>8</v>
      </c>
      <c r="M22" s="81">
        <v>3</v>
      </c>
      <c r="N22" s="81">
        <v>6</v>
      </c>
      <c r="O22" s="81">
        <v>8</v>
      </c>
      <c r="P22" s="82">
        <v>9</v>
      </c>
      <c r="Q22" s="89"/>
      <c r="R22" s="56"/>
    </row>
    <row r="23" spans="1:19" x14ac:dyDescent="0.2">
      <c r="A23" s="49" t="s">
        <v>76</v>
      </c>
      <c r="B23" s="83">
        <v>6</v>
      </c>
      <c r="C23" s="84">
        <v>0</v>
      </c>
      <c r="D23" s="84">
        <v>1</v>
      </c>
      <c r="E23" s="84">
        <v>1</v>
      </c>
      <c r="F23" s="81">
        <v>5</v>
      </c>
      <c r="G23" s="81">
        <v>4</v>
      </c>
      <c r="H23" s="81">
        <v>3</v>
      </c>
      <c r="I23" s="81">
        <v>2</v>
      </c>
      <c r="J23" s="81">
        <v>1</v>
      </c>
      <c r="K23" s="81">
        <v>9</v>
      </c>
      <c r="L23" s="81">
        <v>2</v>
      </c>
      <c r="M23" s="81">
        <v>8</v>
      </c>
      <c r="N23" s="81">
        <v>3</v>
      </c>
      <c r="O23" s="81">
        <v>7</v>
      </c>
      <c r="P23" s="82">
        <v>4</v>
      </c>
      <c r="Q23" s="89"/>
      <c r="R23" s="56"/>
    </row>
    <row r="24" spans="1:19" x14ac:dyDescent="0.2">
      <c r="A24" s="49" t="s">
        <v>77</v>
      </c>
      <c r="B24" s="83">
        <v>5</v>
      </c>
      <c r="C24" s="84">
        <v>5</v>
      </c>
      <c r="D24" s="81">
        <v>0</v>
      </c>
      <c r="E24" s="81">
        <v>0</v>
      </c>
      <c r="F24" s="81">
        <v>5</v>
      </c>
      <c r="G24" s="81">
        <v>6</v>
      </c>
      <c r="H24" s="81">
        <v>7</v>
      </c>
      <c r="I24" s="81">
        <v>1</v>
      </c>
      <c r="J24" s="81">
        <v>2</v>
      </c>
      <c r="K24" s="81">
        <v>3</v>
      </c>
      <c r="L24" s="81">
        <v>8</v>
      </c>
      <c r="M24" s="81">
        <v>9</v>
      </c>
      <c r="N24" s="81">
        <v>9</v>
      </c>
      <c r="O24" s="81">
        <v>2</v>
      </c>
      <c r="P24" s="82">
        <v>3</v>
      </c>
      <c r="Q24" s="89"/>
      <c r="R24" s="56"/>
    </row>
    <row r="25" spans="1:19" x14ac:dyDescent="0.2">
      <c r="A25" s="49" t="s">
        <v>78</v>
      </c>
      <c r="B25" s="83">
        <v>4</v>
      </c>
      <c r="C25" s="81">
        <v>3</v>
      </c>
      <c r="D25" s="81">
        <v>4</v>
      </c>
      <c r="E25" s="81">
        <v>0</v>
      </c>
      <c r="F25" s="81">
        <v>9</v>
      </c>
      <c r="G25" s="81">
        <v>8</v>
      </c>
      <c r="H25" s="81">
        <v>7</v>
      </c>
      <c r="I25" s="81">
        <v>1</v>
      </c>
      <c r="J25" s="81">
        <v>2</v>
      </c>
      <c r="K25" s="81">
        <v>3</v>
      </c>
      <c r="L25" s="81">
        <v>9</v>
      </c>
      <c r="M25" s="81">
        <v>8</v>
      </c>
      <c r="N25" s="81">
        <v>7</v>
      </c>
      <c r="O25" s="81">
        <v>1</v>
      </c>
      <c r="P25" s="82">
        <v>1</v>
      </c>
      <c r="Q25" s="89"/>
      <c r="R25" s="56"/>
    </row>
    <row r="26" spans="1:19" x14ac:dyDescent="0.2">
      <c r="A26" s="49" t="s">
        <v>79</v>
      </c>
      <c r="B26" s="83">
        <v>2</v>
      </c>
      <c r="C26" s="84">
        <v>2</v>
      </c>
      <c r="D26" s="84">
        <v>2</v>
      </c>
      <c r="E26" s="84">
        <v>1</v>
      </c>
      <c r="F26" s="81">
        <v>4</v>
      </c>
      <c r="G26" s="81">
        <v>5</v>
      </c>
      <c r="H26" s="81">
        <v>2</v>
      </c>
      <c r="I26" s="81">
        <v>3</v>
      </c>
      <c r="J26" s="81">
        <v>5</v>
      </c>
      <c r="K26" s="81">
        <v>2</v>
      </c>
      <c r="L26" s="81">
        <v>8</v>
      </c>
      <c r="M26" s="81">
        <v>1</v>
      </c>
      <c r="N26" s="81">
        <v>0</v>
      </c>
      <c r="O26" s="81">
        <v>2</v>
      </c>
      <c r="P26" s="82">
        <v>3</v>
      </c>
      <c r="Q26" s="89"/>
      <c r="R26" s="56"/>
    </row>
    <row r="27" spans="1:19" x14ac:dyDescent="0.2">
      <c r="R27" s="86" t="s">
        <v>93</v>
      </c>
    </row>
    <row r="30" spans="1:19" x14ac:dyDescent="0.2">
      <c r="A30" s="58"/>
      <c r="D30" s="57"/>
      <c r="E30" s="57"/>
    </row>
    <row r="31" spans="1:19" x14ac:dyDescent="0.2">
      <c r="A31" s="57"/>
      <c r="D31" s="57"/>
      <c r="E31" s="57"/>
    </row>
    <row r="32" spans="1:19" x14ac:dyDescent="0.2">
      <c r="A32" s="57"/>
      <c r="D32" s="57"/>
      <c r="E32" s="57"/>
    </row>
    <row r="33" spans="1:5" x14ac:dyDescent="0.2">
      <c r="A33" s="57"/>
      <c r="D33" s="57"/>
      <c r="E33" s="57"/>
    </row>
    <row r="34" spans="1:5" x14ac:dyDescent="0.2">
      <c r="A34" s="57"/>
      <c r="D34" s="57"/>
      <c r="E34" s="57"/>
    </row>
    <row r="35" spans="1:5" x14ac:dyDescent="0.2">
      <c r="A35" s="57"/>
      <c r="D35" s="57"/>
      <c r="E35" s="57"/>
    </row>
    <row r="36" spans="1:5" x14ac:dyDescent="0.2">
      <c r="A36" s="57"/>
      <c r="D36" s="57"/>
      <c r="E36" s="57"/>
    </row>
    <row r="37" spans="1:5" x14ac:dyDescent="0.2">
      <c r="A37" s="57"/>
      <c r="D37" s="57"/>
      <c r="E37" s="57"/>
    </row>
    <row r="38" spans="1:5" x14ac:dyDescent="0.2">
      <c r="A38" s="57"/>
      <c r="D38" s="57"/>
      <c r="E38" s="57"/>
    </row>
    <row r="39" spans="1:5" x14ac:dyDescent="0.2">
      <c r="A39" s="57"/>
      <c r="D39" s="57"/>
      <c r="E39" s="57"/>
    </row>
    <row r="40" spans="1:5" x14ac:dyDescent="0.2">
      <c r="A40" s="57"/>
      <c r="D40" s="57"/>
      <c r="E40" s="57"/>
    </row>
    <row r="41" spans="1:5" x14ac:dyDescent="0.2">
      <c r="A41" s="57"/>
      <c r="D41" s="57"/>
      <c r="E41" s="57"/>
    </row>
    <row r="42" spans="1:5" x14ac:dyDescent="0.2">
      <c r="A42" s="57"/>
      <c r="D42" s="57"/>
      <c r="E42" s="57"/>
    </row>
    <row r="43" spans="1:5" x14ac:dyDescent="0.2">
      <c r="A43" s="57"/>
      <c r="D43" s="57"/>
      <c r="E43" s="57"/>
    </row>
    <row r="44" spans="1:5" x14ac:dyDescent="0.2">
      <c r="A44" s="57"/>
      <c r="D44" s="57"/>
      <c r="E44" s="57"/>
    </row>
    <row r="45" spans="1:5" x14ac:dyDescent="0.2">
      <c r="A45" s="57"/>
      <c r="D45" s="57"/>
      <c r="E45" s="57"/>
    </row>
    <row r="46" spans="1:5" x14ac:dyDescent="0.2">
      <c r="A46" s="57"/>
      <c r="D46" s="57"/>
      <c r="E46" s="57"/>
    </row>
    <row r="47" spans="1:5" x14ac:dyDescent="0.2">
      <c r="A47" s="57"/>
      <c r="D47" s="57"/>
      <c r="E47" s="57"/>
    </row>
    <row r="48" spans="1:5" x14ac:dyDescent="0.2">
      <c r="A48" s="57"/>
      <c r="D48" s="57"/>
      <c r="E48" s="57"/>
    </row>
    <row r="49" spans="1:5" x14ac:dyDescent="0.2">
      <c r="A49" s="57"/>
      <c r="D49" s="57"/>
      <c r="E49" s="57"/>
    </row>
  </sheetData>
  <sheetProtection formatCells="0" formatColumns="0" formatRows="0"/>
  <mergeCells count="7">
    <mergeCell ref="C19:S19"/>
    <mergeCell ref="C12:S12"/>
    <mergeCell ref="C13:S13"/>
    <mergeCell ref="C14:S14"/>
    <mergeCell ref="C15:S15"/>
    <mergeCell ref="C16:S16"/>
    <mergeCell ref="C17:S17"/>
  </mergeCells>
  <pageMargins left="0.7" right="0.7" top="0.75" bottom="0.75" header="0.3" footer="0.3"/>
  <pageSetup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E133"/>
  <sheetViews>
    <sheetView workbookViewId="0">
      <selection activeCell="D16" sqref="D16"/>
    </sheetView>
  </sheetViews>
  <sheetFormatPr baseColWidth="10" defaultColWidth="8.83203125" defaultRowHeight="15" x14ac:dyDescent="0.2"/>
  <cols>
    <col min="1" max="3" width="14.5" style="1" customWidth="1"/>
    <col min="4" max="4" width="32.1640625" style="1" customWidth="1"/>
  </cols>
  <sheetData>
    <row r="1" spans="1:5" x14ac:dyDescent="0.2">
      <c r="A1" s="4" t="s">
        <v>5</v>
      </c>
      <c r="E1" t="s">
        <v>116</v>
      </c>
    </row>
    <row r="2" spans="1:5" x14ac:dyDescent="0.2">
      <c r="A2" s="2" t="s">
        <v>10</v>
      </c>
      <c r="B2" s="2" t="s">
        <v>0</v>
      </c>
      <c r="C2" s="2" t="s">
        <v>4</v>
      </c>
      <c r="D2" s="2" t="s">
        <v>11</v>
      </c>
      <c r="E2" t="s">
        <v>119</v>
      </c>
    </row>
    <row r="3" spans="1:5" x14ac:dyDescent="0.2">
      <c r="A3" s="2" t="s">
        <v>120</v>
      </c>
      <c r="B3" s="2" t="s">
        <v>114</v>
      </c>
      <c r="C3" s="2" t="s">
        <v>115</v>
      </c>
      <c r="D3" s="92">
        <v>45699.401537268517</v>
      </c>
      <c r="E3" t="s">
        <v>118</v>
      </c>
    </row>
    <row r="4" spans="1:5" x14ac:dyDescent="0.2">
      <c r="A4" t="s">
        <v>12</v>
      </c>
      <c r="B4" t="s">
        <v>13</v>
      </c>
      <c r="C4">
        <v>0</v>
      </c>
      <c r="D4" s="7">
        <v>43831</v>
      </c>
    </row>
    <row r="5" spans="1:5" x14ac:dyDescent="0.2">
      <c r="A5"/>
      <c r="B5"/>
      <c r="C5"/>
      <c r="D5" s="7"/>
      <c r="E5" t="s">
        <v>117</v>
      </c>
    </row>
    <row r="6" spans="1:5" x14ac:dyDescent="0.2">
      <c r="A6"/>
      <c r="B6"/>
      <c r="C6"/>
      <c r="D6" s="7"/>
    </row>
    <row r="7" spans="1:5" x14ac:dyDescent="0.2">
      <c r="A7"/>
      <c r="B7"/>
      <c r="C7"/>
      <c r="D7" s="7"/>
    </row>
    <row r="8" spans="1:5" x14ac:dyDescent="0.2">
      <c r="A8"/>
      <c r="B8"/>
      <c r="C8"/>
      <c r="D8" s="7"/>
    </row>
    <row r="9" spans="1:5" x14ac:dyDescent="0.2">
      <c r="A9"/>
      <c r="B9"/>
      <c r="C9" s="7"/>
      <c r="D9"/>
    </row>
    <row r="10" spans="1:5" x14ac:dyDescent="0.2">
      <c r="A10"/>
      <c r="B10"/>
      <c r="C10" s="7"/>
      <c r="D10"/>
    </row>
    <row r="11" spans="1:5" x14ac:dyDescent="0.2">
      <c r="A11"/>
      <c r="B11"/>
      <c r="C11" s="7"/>
      <c r="D11"/>
    </row>
    <row r="12" spans="1:5" x14ac:dyDescent="0.2">
      <c r="A12"/>
      <c r="B12"/>
      <c r="C12" s="7"/>
      <c r="D12"/>
    </row>
    <row r="13" spans="1:5" x14ac:dyDescent="0.2">
      <c r="A13"/>
      <c r="B13"/>
      <c r="C13" s="7"/>
      <c r="D13"/>
    </row>
    <row r="14" spans="1:5" x14ac:dyDescent="0.2">
      <c r="A14"/>
      <c r="B14"/>
      <c r="C14" s="7"/>
      <c r="D14"/>
    </row>
    <row r="15" spans="1:5" x14ac:dyDescent="0.2">
      <c r="A15"/>
      <c r="B15"/>
      <c r="C15" s="7"/>
      <c r="D15"/>
    </row>
    <row r="16" spans="1:5" x14ac:dyDescent="0.2">
      <c r="A16"/>
      <c r="B16"/>
      <c r="C16" s="7"/>
      <c r="D16"/>
    </row>
    <row r="17" spans="1:4" x14ac:dyDescent="0.2">
      <c r="A17"/>
      <c r="B17"/>
      <c r="C17" s="7"/>
      <c r="D17"/>
    </row>
    <row r="18" spans="1:4" x14ac:dyDescent="0.2">
      <c r="A18"/>
      <c r="B18"/>
      <c r="C18" s="7"/>
      <c r="D18"/>
    </row>
    <row r="19" spans="1:4" x14ac:dyDescent="0.2">
      <c r="A19"/>
      <c r="B19"/>
      <c r="C19" s="7"/>
      <c r="D19"/>
    </row>
    <row r="20" spans="1:4" x14ac:dyDescent="0.2">
      <c r="C20" s="5"/>
    </row>
    <row r="21" spans="1:4" x14ac:dyDescent="0.2">
      <c r="C21" s="5"/>
    </row>
    <row r="22" spans="1:4" x14ac:dyDescent="0.2">
      <c r="A22" s="2"/>
      <c r="B22" s="2"/>
      <c r="C22" s="3"/>
      <c r="D22" s="2"/>
    </row>
    <row r="23" spans="1:4" x14ac:dyDescent="0.2">
      <c r="A23" s="2"/>
      <c r="B23" s="2"/>
      <c r="C23" s="3"/>
      <c r="D23" s="2"/>
    </row>
    <row r="24" spans="1:4" x14ac:dyDescent="0.2">
      <c r="A24" s="2"/>
      <c r="B24" s="2"/>
      <c r="C24" s="3"/>
      <c r="D24" s="2"/>
    </row>
    <row r="25" spans="1:4" x14ac:dyDescent="0.2">
      <c r="C25" s="5"/>
    </row>
    <row r="26" spans="1:4" x14ac:dyDescent="0.2">
      <c r="A26" s="2"/>
      <c r="B26" s="2"/>
      <c r="C26" s="3"/>
      <c r="D26" s="2"/>
    </row>
    <row r="27" spans="1:4" x14ac:dyDescent="0.2">
      <c r="A27" s="2"/>
      <c r="B27" s="2"/>
      <c r="C27" s="3"/>
      <c r="D27" s="2"/>
    </row>
    <row r="28" spans="1:4" x14ac:dyDescent="0.2">
      <c r="A28" s="2"/>
      <c r="B28" s="2"/>
      <c r="C28" s="3"/>
      <c r="D28" s="2"/>
    </row>
    <row r="29" spans="1:4" x14ac:dyDescent="0.2">
      <c r="A29" s="2"/>
      <c r="B29" s="2"/>
      <c r="C29" s="3"/>
      <c r="D29" s="2"/>
    </row>
    <row r="30" spans="1:4" x14ac:dyDescent="0.2">
      <c r="A30" s="2"/>
      <c r="B30" s="2"/>
      <c r="C30" s="3"/>
      <c r="D30" s="2"/>
    </row>
    <row r="31" spans="1:4" x14ac:dyDescent="0.2">
      <c r="A31" s="2"/>
      <c r="B31" s="2"/>
      <c r="C31" s="3"/>
      <c r="D31" s="2"/>
    </row>
    <row r="32" spans="1:4" x14ac:dyDescent="0.2">
      <c r="A32" s="2"/>
      <c r="B32" s="2"/>
      <c r="C32" s="3"/>
      <c r="D32" s="2"/>
    </row>
    <row r="33" spans="1:4" x14ac:dyDescent="0.2">
      <c r="A33" s="2"/>
      <c r="B33" s="2"/>
      <c r="C33" s="3"/>
      <c r="D33" s="2"/>
    </row>
    <row r="34" spans="1:4" x14ac:dyDescent="0.2">
      <c r="A34" s="2"/>
      <c r="B34" s="2"/>
      <c r="C34" s="3"/>
      <c r="D34" s="2"/>
    </row>
    <row r="35" spans="1:4" x14ac:dyDescent="0.2">
      <c r="A35" s="2"/>
      <c r="B35" s="2"/>
      <c r="C35" s="3"/>
      <c r="D35" s="2"/>
    </row>
    <row r="36" spans="1:4" x14ac:dyDescent="0.2">
      <c r="A36" s="2"/>
      <c r="B36" s="2"/>
      <c r="C36" s="3"/>
      <c r="D36" s="2"/>
    </row>
    <row r="37" spans="1:4" x14ac:dyDescent="0.2">
      <c r="A37" s="2"/>
      <c r="B37" s="2"/>
      <c r="C37" s="3"/>
      <c r="D37" s="2"/>
    </row>
    <row r="38" spans="1:4" x14ac:dyDescent="0.2">
      <c r="A38" s="2"/>
      <c r="B38" s="2"/>
      <c r="C38" s="3"/>
      <c r="D38" s="2"/>
    </row>
    <row r="39" spans="1:4" x14ac:dyDescent="0.2">
      <c r="A39" s="2"/>
      <c r="B39" s="2"/>
      <c r="C39" s="3"/>
      <c r="D39" s="2"/>
    </row>
    <row r="40" spans="1:4" x14ac:dyDescent="0.2">
      <c r="A40" s="2"/>
      <c r="B40" s="2"/>
      <c r="C40" s="3"/>
      <c r="D40" s="2"/>
    </row>
    <row r="41" spans="1:4" x14ac:dyDescent="0.2">
      <c r="A41" s="2"/>
      <c r="B41" s="2"/>
      <c r="C41" s="3"/>
      <c r="D41" s="2"/>
    </row>
    <row r="42" spans="1:4" x14ac:dyDescent="0.2">
      <c r="A42" s="2"/>
      <c r="B42" s="2"/>
      <c r="C42" s="3"/>
      <c r="D42" s="2"/>
    </row>
    <row r="43" spans="1:4" x14ac:dyDescent="0.2">
      <c r="A43" s="2"/>
      <c r="B43" s="2"/>
      <c r="C43" s="3"/>
      <c r="D43" s="2"/>
    </row>
    <row r="44" spans="1:4" x14ac:dyDescent="0.2">
      <c r="A44" s="2"/>
      <c r="B44" s="2"/>
      <c r="C44" s="3"/>
      <c r="D44" s="2"/>
    </row>
    <row r="45" spans="1:4" x14ac:dyDescent="0.2">
      <c r="A45" s="2"/>
      <c r="B45" s="2"/>
      <c r="C45" s="3"/>
      <c r="D45" s="2"/>
    </row>
    <row r="46" spans="1:4" x14ac:dyDescent="0.2">
      <c r="A46" s="2"/>
      <c r="B46" s="2"/>
      <c r="C46" s="3"/>
      <c r="D46" s="2"/>
    </row>
    <row r="47" spans="1:4" x14ac:dyDescent="0.2">
      <c r="A47" s="2"/>
      <c r="B47" s="2"/>
      <c r="C47" s="3"/>
      <c r="D47" s="2"/>
    </row>
    <row r="48" spans="1:4" x14ac:dyDescent="0.2">
      <c r="A48" s="2"/>
      <c r="B48" s="2"/>
      <c r="C48" s="3"/>
      <c r="D48" s="2"/>
    </row>
    <row r="49" spans="1:4" x14ac:dyDescent="0.2">
      <c r="A49" s="2"/>
      <c r="B49" s="2"/>
      <c r="C49" s="3"/>
      <c r="D49" s="2"/>
    </row>
    <row r="50" spans="1:4" x14ac:dyDescent="0.2">
      <c r="A50" s="2"/>
      <c r="B50" s="2"/>
      <c r="C50" s="3"/>
      <c r="D50" s="2"/>
    </row>
    <row r="51" spans="1:4" x14ac:dyDescent="0.2">
      <c r="A51" s="2"/>
      <c r="B51" s="2"/>
      <c r="C51" s="3"/>
      <c r="D51" s="2"/>
    </row>
    <row r="52" spans="1:4" x14ac:dyDescent="0.2">
      <c r="A52" s="2"/>
      <c r="B52" s="2"/>
      <c r="C52" s="3"/>
      <c r="D52" s="2"/>
    </row>
    <row r="53" spans="1:4" x14ac:dyDescent="0.2">
      <c r="A53" s="2"/>
      <c r="B53" s="2"/>
      <c r="C53" s="3"/>
      <c r="D53" s="2"/>
    </row>
    <row r="54" spans="1:4" x14ac:dyDescent="0.2">
      <c r="A54" s="2"/>
      <c r="B54" s="2"/>
      <c r="C54" s="3"/>
      <c r="D54" s="2"/>
    </row>
    <row r="55" spans="1:4" x14ac:dyDescent="0.2">
      <c r="A55" s="2"/>
      <c r="B55" s="2"/>
      <c r="C55" s="3"/>
      <c r="D55" s="2"/>
    </row>
    <row r="56" spans="1:4" x14ac:dyDescent="0.2">
      <c r="A56" s="2"/>
      <c r="B56" s="2"/>
      <c r="C56" s="3"/>
      <c r="D56" s="2"/>
    </row>
    <row r="57" spans="1:4" x14ac:dyDescent="0.2">
      <c r="A57" s="2"/>
      <c r="B57" s="2"/>
      <c r="C57" s="3"/>
      <c r="D57" s="2"/>
    </row>
    <row r="58" spans="1:4" x14ac:dyDescent="0.2">
      <c r="A58" s="2"/>
      <c r="B58" s="2"/>
      <c r="C58" s="3"/>
      <c r="D58" s="2"/>
    </row>
    <row r="59" spans="1:4" x14ac:dyDescent="0.2">
      <c r="A59" s="2"/>
      <c r="B59" s="2"/>
      <c r="C59" s="3"/>
      <c r="D59" s="2"/>
    </row>
    <row r="60" spans="1:4" x14ac:dyDescent="0.2">
      <c r="A60" s="2"/>
      <c r="B60" s="2"/>
      <c r="C60" s="3"/>
      <c r="D60" s="2"/>
    </row>
    <row r="61" spans="1:4" x14ac:dyDescent="0.2">
      <c r="A61" s="2"/>
      <c r="B61" s="2"/>
      <c r="C61" s="3"/>
      <c r="D61" s="2"/>
    </row>
    <row r="62" spans="1:4" x14ac:dyDescent="0.2">
      <c r="A62" s="2"/>
      <c r="B62" s="2"/>
      <c r="C62" s="3"/>
      <c r="D62" s="2"/>
    </row>
    <row r="63" spans="1:4" x14ac:dyDescent="0.2">
      <c r="A63" s="2"/>
      <c r="B63" s="2"/>
      <c r="C63" s="3"/>
      <c r="D63" s="2"/>
    </row>
    <row r="64" spans="1:4" x14ac:dyDescent="0.2">
      <c r="A64" s="2"/>
      <c r="B64" s="2"/>
      <c r="C64" s="3"/>
      <c r="D64" s="2"/>
    </row>
    <row r="65" spans="1:4" x14ac:dyDescent="0.2">
      <c r="A65" s="2"/>
      <c r="B65" s="2"/>
      <c r="C65" s="3"/>
      <c r="D65" s="2"/>
    </row>
    <row r="66" spans="1:4" x14ac:dyDescent="0.2">
      <c r="A66" s="2"/>
      <c r="B66" s="2"/>
      <c r="C66" s="3"/>
      <c r="D66" s="2"/>
    </row>
    <row r="67" spans="1:4" x14ac:dyDescent="0.2">
      <c r="A67" s="2"/>
      <c r="B67" s="2"/>
      <c r="C67" s="3"/>
      <c r="D67" s="2"/>
    </row>
    <row r="68" spans="1:4" x14ac:dyDescent="0.2">
      <c r="A68" s="2"/>
      <c r="B68" s="2"/>
      <c r="C68" s="3"/>
      <c r="D68" s="2"/>
    </row>
    <row r="69" spans="1:4" x14ac:dyDescent="0.2">
      <c r="A69" s="2"/>
      <c r="B69" s="2"/>
      <c r="C69" s="3"/>
      <c r="D69" s="2"/>
    </row>
    <row r="70" spans="1:4" x14ac:dyDescent="0.2">
      <c r="A70" s="2"/>
      <c r="B70" s="3"/>
      <c r="C70" s="2"/>
      <c r="D70" s="2"/>
    </row>
    <row r="71" spans="1:4" x14ac:dyDescent="0.2">
      <c r="A71" s="2"/>
      <c r="B71" s="3"/>
      <c r="C71" s="2"/>
      <c r="D71" s="2"/>
    </row>
    <row r="72" spans="1:4" x14ac:dyDescent="0.2">
      <c r="A72" s="2"/>
      <c r="B72" s="3"/>
      <c r="C72" s="2"/>
      <c r="D72" s="2"/>
    </row>
    <row r="73" spans="1:4" x14ac:dyDescent="0.2">
      <c r="A73" s="2"/>
      <c r="B73" s="3"/>
      <c r="C73" s="2"/>
      <c r="D73" s="2"/>
    </row>
    <row r="74" spans="1:4" x14ac:dyDescent="0.2">
      <c r="A74" s="2"/>
      <c r="B74" s="3"/>
      <c r="C74" s="2"/>
      <c r="D74" s="2"/>
    </row>
    <row r="75" spans="1:4" x14ac:dyDescent="0.2">
      <c r="A75" s="2"/>
      <c r="B75" s="3"/>
      <c r="C75" s="2"/>
      <c r="D75" s="2"/>
    </row>
    <row r="76" spans="1:4" x14ac:dyDescent="0.2">
      <c r="A76" s="2"/>
      <c r="B76" s="3"/>
      <c r="C76" s="2"/>
      <c r="D76" s="2"/>
    </row>
    <row r="77" spans="1:4" x14ac:dyDescent="0.2">
      <c r="A77" s="2"/>
      <c r="B77" s="3"/>
      <c r="C77" s="2"/>
      <c r="D77" s="2"/>
    </row>
    <row r="78" spans="1:4" x14ac:dyDescent="0.2">
      <c r="A78" s="2"/>
      <c r="B78" s="3"/>
      <c r="C78" s="2"/>
      <c r="D78" s="2"/>
    </row>
    <row r="79" spans="1:4" x14ac:dyDescent="0.2">
      <c r="A79" s="2"/>
      <c r="B79" s="3"/>
      <c r="C79" s="2"/>
      <c r="D79" s="2"/>
    </row>
    <row r="80" spans="1:4" x14ac:dyDescent="0.2">
      <c r="A80" s="2"/>
      <c r="B80" s="3"/>
      <c r="C80" s="2"/>
      <c r="D80" s="2"/>
    </row>
    <row r="81" spans="1:4" x14ac:dyDescent="0.2">
      <c r="A81" s="2"/>
      <c r="B81" s="3"/>
      <c r="C81" s="2"/>
      <c r="D81" s="2"/>
    </row>
    <row r="82" spans="1:4" x14ac:dyDescent="0.2">
      <c r="A82" s="2"/>
      <c r="B82" s="3"/>
      <c r="C82" s="2"/>
      <c r="D82" s="2"/>
    </row>
    <row r="83" spans="1:4" x14ac:dyDescent="0.2">
      <c r="A83" s="2"/>
      <c r="B83" s="3"/>
      <c r="C83" s="2"/>
      <c r="D83" s="2"/>
    </row>
    <row r="84" spans="1:4" x14ac:dyDescent="0.2">
      <c r="A84" s="2"/>
      <c r="B84" s="3"/>
      <c r="C84" s="2"/>
      <c r="D84" s="2"/>
    </row>
    <row r="85" spans="1:4" x14ac:dyDescent="0.2">
      <c r="A85" s="2"/>
      <c r="B85" s="3"/>
      <c r="C85" s="2"/>
      <c r="D85" s="2"/>
    </row>
    <row r="86" spans="1:4" x14ac:dyDescent="0.2">
      <c r="A86" s="2"/>
      <c r="B86" s="3"/>
      <c r="C86" s="2"/>
      <c r="D86" s="2"/>
    </row>
    <row r="87" spans="1:4" x14ac:dyDescent="0.2">
      <c r="A87" s="2"/>
      <c r="B87" s="3"/>
      <c r="C87" s="2"/>
      <c r="D87" s="2"/>
    </row>
    <row r="88" spans="1:4" x14ac:dyDescent="0.2">
      <c r="A88" s="2"/>
      <c r="B88" s="3"/>
      <c r="C88" s="2"/>
      <c r="D88" s="2"/>
    </row>
    <row r="89" spans="1:4" x14ac:dyDescent="0.2">
      <c r="A89" s="2"/>
      <c r="B89" s="3"/>
      <c r="C89" s="2"/>
      <c r="D89" s="2"/>
    </row>
    <row r="90" spans="1:4" x14ac:dyDescent="0.2">
      <c r="A90" s="2"/>
      <c r="B90" s="3"/>
      <c r="C90" s="2"/>
      <c r="D90" s="2"/>
    </row>
    <row r="91" spans="1:4" x14ac:dyDescent="0.2">
      <c r="A91" s="2"/>
      <c r="B91" s="3"/>
      <c r="C91" s="2"/>
      <c r="D91" s="2"/>
    </row>
    <row r="92" spans="1:4" x14ac:dyDescent="0.2">
      <c r="B92" s="5"/>
    </row>
    <row r="93" spans="1:4" x14ac:dyDescent="0.2">
      <c r="B93" s="5"/>
    </row>
    <row r="94" spans="1:4" x14ac:dyDescent="0.2">
      <c r="B94" s="5"/>
    </row>
    <row r="95" spans="1:4" x14ac:dyDescent="0.2">
      <c r="B95" s="5"/>
    </row>
    <row r="96" spans="1:4" x14ac:dyDescent="0.2">
      <c r="B96" s="5"/>
    </row>
    <row r="97" spans="2:2" x14ac:dyDescent="0.2">
      <c r="B97" s="5"/>
    </row>
    <row r="98" spans="2:2" x14ac:dyDescent="0.2">
      <c r="B98" s="5"/>
    </row>
    <row r="99" spans="2:2" x14ac:dyDescent="0.2">
      <c r="B99" s="5"/>
    </row>
    <row r="100" spans="2:2" x14ac:dyDescent="0.2">
      <c r="B100" s="5"/>
    </row>
    <row r="102" spans="2:2" x14ac:dyDescent="0.2">
      <c r="B102" s="5"/>
    </row>
    <row r="103" spans="2:2" x14ac:dyDescent="0.2">
      <c r="B103" s="5"/>
    </row>
    <row r="104" spans="2:2" x14ac:dyDescent="0.2">
      <c r="B104" s="5"/>
    </row>
    <row r="106" spans="2:2" x14ac:dyDescent="0.2">
      <c r="B106" s="5"/>
    </row>
    <row r="107" spans="2:2" x14ac:dyDescent="0.2">
      <c r="B107" s="5"/>
    </row>
    <row r="108" spans="2:2" x14ac:dyDescent="0.2">
      <c r="B108" s="5"/>
    </row>
    <row r="109" spans="2:2" x14ac:dyDescent="0.2">
      <c r="B109" s="5"/>
    </row>
    <row r="110" spans="2:2" x14ac:dyDescent="0.2">
      <c r="B110" s="5"/>
    </row>
    <row r="111" spans="2:2" x14ac:dyDescent="0.2">
      <c r="B111" s="5"/>
    </row>
    <row r="112" spans="2:2" x14ac:dyDescent="0.2">
      <c r="B112" s="5"/>
    </row>
    <row r="113" spans="2:2" x14ac:dyDescent="0.2">
      <c r="B113" s="5"/>
    </row>
    <row r="114" spans="2:2" x14ac:dyDescent="0.2">
      <c r="B114" s="5"/>
    </row>
    <row r="115" spans="2:2" x14ac:dyDescent="0.2">
      <c r="B115" s="5"/>
    </row>
    <row r="116" spans="2:2" x14ac:dyDescent="0.2">
      <c r="B116" s="5"/>
    </row>
    <row r="119" spans="2:2" x14ac:dyDescent="0.2">
      <c r="B119" s="5"/>
    </row>
    <row r="120" spans="2:2" x14ac:dyDescent="0.2">
      <c r="B120" s="5"/>
    </row>
    <row r="121" spans="2:2" x14ac:dyDescent="0.2">
      <c r="B121" s="5"/>
    </row>
    <row r="122" spans="2:2" x14ac:dyDescent="0.2">
      <c r="B122" s="5"/>
    </row>
    <row r="123" spans="2:2" x14ac:dyDescent="0.2">
      <c r="B123" s="5"/>
    </row>
    <row r="124" spans="2:2" x14ac:dyDescent="0.2">
      <c r="B124" s="5"/>
    </row>
    <row r="125" spans="2:2" x14ac:dyDescent="0.2">
      <c r="B125" s="5"/>
    </row>
    <row r="126" spans="2:2" x14ac:dyDescent="0.2">
      <c r="B126" s="5"/>
    </row>
    <row r="127" spans="2:2" x14ac:dyDescent="0.2">
      <c r="B127" s="5"/>
    </row>
    <row r="128" spans="2:2" x14ac:dyDescent="0.2">
      <c r="B128" s="5"/>
    </row>
    <row r="129" spans="2:2" x14ac:dyDescent="0.2">
      <c r="B129" s="5"/>
    </row>
    <row r="130" spans="2:2" x14ac:dyDescent="0.2">
      <c r="B130" s="5"/>
    </row>
    <row r="131" spans="2:2" x14ac:dyDescent="0.2">
      <c r="B131" s="5"/>
    </row>
    <row r="133" spans="2:2" x14ac:dyDescent="0.2">
      <c r="B133" s="6"/>
    </row>
  </sheetData>
  <sheetProtection formatCells="0" formatColumns="0" formatRows="0" insertColumns="0" insertRows="0" selectLockedCells="1"/>
  <protectedRanges>
    <protectedRange sqref="D81:D96 A81:B96 A97:D1048576 A2:D80" name="Range1"/>
  </protectedRanges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S12"/>
  <sheetViews>
    <sheetView workbookViewId="0">
      <selection activeCell="B11" sqref="B11"/>
    </sheetView>
  </sheetViews>
  <sheetFormatPr baseColWidth="10" defaultColWidth="9.1640625" defaultRowHeight="15" x14ac:dyDescent="0.2"/>
  <cols>
    <col min="1" max="1" width="9.1640625" style="8" customWidth="1"/>
    <col min="2" max="16384" width="9.1640625" style="8"/>
  </cols>
  <sheetData>
    <row r="1" spans="1:19" x14ac:dyDescent="0.2">
      <c r="A1" s="15"/>
      <c r="G1" s="17"/>
      <c r="S1" s="1"/>
    </row>
    <row r="2" spans="1:19" x14ac:dyDescent="0.2">
      <c r="A2" s="16"/>
      <c r="G2" s="1"/>
    </row>
    <row r="3" spans="1:19" x14ac:dyDescent="0.2">
      <c r="G3" s="1"/>
    </row>
    <row r="12" spans="1:19" x14ac:dyDescent="0.2">
      <c r="B12" s="1"/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StartHere</vt:lpstr>
      <vt:lpstr>Crypto</vt:lpstr>
      <vt:lpstr>Luhn</vt:lpstr>
      <vt:lpstr>Sheet9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Kurt Schmitz</dc:creator>
  <cp:keywords/>
  <dc:description/>
  <cp:lastModifiedBy>Kike Otufale</cp:lastModifiedBy>
  <dcterms:created xsi:type="dcterms:W3CDTF">2017-10-26T20:43:12Z</dcterms:created>
  <dcterms:modified xsi:type="dcterms:W3CDTF">2025-02-13T17:11:39Z</dcterms:modified>
  <cp:category/>
</cp:coreProperties>
</file>