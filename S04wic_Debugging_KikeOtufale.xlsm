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hared/CIS2010/"/>
    </mc:Choice>
  </mc:AlternateContent>
  <xr:revisionPtr revIDLastSave="0" documentId="13_ncr:1_{3294B9BD-EF33-0943-BEE1-55AFE190775C}" xr6:coauthVersionLast="47" xr6:coauthVersionMax="47" xr10:uidLastSave="{00000000-0000-0000-0000-000000000000}"/>
  <bookViews>
    <workbookView xWindow="12420" yWindow="0" windowWidth="16380" windowHeight="18000" activeTab="2" xr2:uid="{00000000-000D-0000-FFFF-FFFF00000000}"/>
  </bookViews>
  <sheets>
    <sheet name="StartHere" sheetId="1" r:id="rId1"/>
    <sheet name="CCmeeting" sheetId="36" state="veryHidden" r:id="rId2"/>
    <sheet name="W1" sheetId="35" r:id="rId3"/>
    <sheet name="AutoPointPenalty" sheetId="37" state="veryHidden" r:id="rId4"/>
    <sheet name="CommonErrors" sheetId="34" r:id="rId5"/>
    <sheet name="5.ID" sheetId="4" state="veryHidden" r:id="rId6"/>
    <sheet name="Sheet9" sheetId="33" state="veryHidden" r:id="rId7"/>
  </sheets>
  <calcPr calcId="191029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35" l="1"/>
  <c r="B22" i="35"/>
  <c r="B21" i="35"/>
  <c r="B20" i="35"/>
  <c r="B19" i="35"/>
  <c r="B16" i="35"/>
  <c r="B14" i="35"/>
  <c r="B7" i="35"/>
  <c r="B18" i="35"/>
  <c r="B15" i="35"/>
  <c r="B11" i="35"/>
  <c r="B10" i="35"/>
  <c r="B13" i="35" s="1"/>
  <c r="B9" i="35"/>
  <c r="B8" i="35"/>
  <c r="B6" i="35"/>
  <c r="B5" i="35"/>
  <c r="E5" i="35" s="1"/>
  <c r="B4" i="35"/>
  <c r="C18" i="1"/>
  <c r="C16" i="1" s="1"/>
  <c r="C17" i="1"/>
  <c r="C14" i="1"/>
  <c r="C13" i="1"/>
  <c r="D14" i="35" a="1"/>
  <c r="D14" i="35" s="1"/>
  <c r="D10" i="35" a="1"/>
  <c r="D10" i="35" s="1"/>
  <c r="C7" i="37"/>
  <c r="D4" i="35"/>
  <c r="D5" i="35" a="1"/>
  <c r="D5" i="35" s="1"/>
  <c r="D6" i="35"/>
  <c r="D7" i="35" a="1"/>
  <c r="D7" i="35" s="1"/>
  <c r="D8" i="35" a="1"/>
  <c r="D8" i="35" s="1"/>
  <c r="D9" i="35" a="1"/>
  <c r="D9" i="35" s="1"/>
  <c r="D11" i="35"/>
  <c r="D12" i="35" a="1"/>
  <c r="D12" i="35" s="1"/>
  <c r="D13" i="35" a="1"/>
  <c r="D13" i="35" s="1"/>
  <c r="D15" i="35"/>
  <c r="D16" i="35"/>
  <c r="B9" i="37"/>
  <c r="E7" i="35" s="1"/>
  <c r="B8" i="37"/>
  <c r="E16" i="35" s="1"/>
  <c r="H3" i="37"/>
  <c r="H4" i="37" s="1"/>
  <c r="B7" i="37"/>
  <c r="G3" i="37"/>
  <c r="G6" i="37" s="1"/>
  <c r="F3" i="37"/>
  <c r="F6" i="37" s="1"/>
  <c r="E3" i="37"/>
  <c r="D3" i="37"/>
  <c r="D5" i="37" s="1"/>
  <c r="C3" i="37"/>
  <c r="C5" i="37" s="1"/>
  <c r="B3" i="37"/>
  <c r="B5" i="37" s="1"/>
  <c r="G1" i="37"/>
  <c r="G2" i="37" s="1"/>
  <c r="F1" i="37"/>
  <c r="F2" i="37" s="1"/>
  <c r="E1" i="37"/>
  <c r="E9" i="35" s="1"/>
  <c r="D1" i="37"/>
  <c r="D2" i="37" s="1"/>
  <c r="C1" i="37"/>
  <c r="C2" i="37" s="1"/>
  <c r="B1" i="37"/>
  <c r="B2" i="37" s="1"/>
  <c r="A1" i="36"/>
  <c r="E13" i="35" l="1"/>
  <c r="B12" i="35"/>
  <c r="E15" i="35"/>
  <c r="E10" i="35"/>
  <c r="E8" i="35"/>
  <c r="E2" i="37"/>
  <c r="E6" i="35"/>
  <c r="F5" i="37"/>
  <c r="H6" i="37"/>
  <c r="E14" i="35" s="1"/>
  <c r="H5" i="37"/>
  <c r="E5" i="37"/>
  <c r="E11" i="35" s="1"/>
  <c r="C6" i="37"/>
  <c r="G5" i="37"/>
  <c r="B4" i="37"/>
  <c r="B6" i="37"/>
  <c r="C4" i="37"/>
  <c r="D4" i="37"/>
  <c r="D6" i="37"/>
  <c r="E4" i="37"/>
  <c r="E12" i="35" s="1"/>
  <c r="E6" i="37"/>
  <c r="F4" i="37"/>
  <c r="G4" i="37"/>
  <c r="C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 Schmitz</author>
  </authors>
  <commentList>
    <comment ref="E4" authorId="0" shapeId="0" xr:uid="{D5B7BA89-FF26-4136-9FE7-91AB6991C4B5}">
      <text>
        <r>
          <rPr>
            <sz val="9"/>
            <color rgb="FF000000"/>
            <rFont val="Tahoma"/>
            <family val="2"/>
          </rPr>
          <t>The cell will not tell you if you have the correct answer for this task.</t>
        </r>
      </text>
    </comment>
    <comment ref="D18" authorId="0" shapeId="0" xr:uid="{68FF6C95-945B-4E79-A6D3-97B603F168F3}">
      <text>
        <r>
          <rPr>
            <sz val="9"/>
            <color rgb="FF000000"/>
            <rFont val="Tahoma"/>
            <family val="2"/>
          </rPr>
          <t>From this point down the drop-down help for diagnosis and solution check is not available.</t>
        </r>
      </text>
    </comment>
    <comment ref="E18" authorId="0" shapeId="0" xr:uid="{B231F322-A6F6-40C9-9C0F-BB33EE95A87D}">
      <text>
        <r>
          <rPr>
            <sz val="9"/>
            <color rgb="FF000000"/>
            <rFont val="Tahoma"/>
            <family val="2"/>
          </rPr>
          <t>From this point down the drop-down help for diagnosis and solution check is not available.</t>
        </r>
      </text>
    </comment>
    <comment ref="D19" authorId="0" shapeId="0" xr:uid="{49541EEB-8826-4A5D-B408-2AD3A0EE53B0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19" authorId="0" shapeId="0" xr:uid="{6E14999F-C24B-41E8-ADBB-FDE3AB284A01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0" authorId="0" shapeId="0" xr:uid="{E33EB9E9-DC4A-4B0D-9E53-BB1A2B2FE837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20" authorId="0" shapeId="0" xr:uid="{140D6543-7608-4BF9-8EDA-2447CD676D46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1" authorId="0" shapeId="0" xr:uid="{EABC5EDB-9E00-4E6C-9676-06CAA427AFD0}">
      <text>
        <r>
          <rPr>
            <sz val="9"/>
            <color rgb="FF000000"/>
            <rFont val="Tahoma"/>
            <family val="2"/>
          </rPr>
          <t>From this point down the drop-down help for diagnosis and solution check is not available.</t>
        </r>
      </text>
    </comment>
    <comment ref="E21" authorId="0" shapeId="0" xr:uid="{C50EA55E-41B6-4B7E-8548-9E9B28A15FCB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2" authorId="0" shapeId="0" xr:uid="{CC7D5674-6911-41A0-969B-306A23230003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22" authorId="0" shapeId="0" xr:uid="{388F3342-61F3-407F-97F3-828478C22223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3" authorId="0" shapeId="0" xr:uid="{F89A9E8E-ED25-413D-8B94-816BC58FA950}">
      <text>
        <r>
          <rPr>
            <sz val="9"/>
            <color rgb="FF000000"/>
            <rFont val="Tahoma"/>
            <family val="2"/>
          </rPr>
          <t>From this point down the drop-down help for diagnosis and solution check is not available.</t>
        </r>
      </text>
    </comment>
    <comment ref="E23" authorId="0" shapeId="0" xr:uid="{BD0EBD3D-F701-468D-87D6-BE0AC88FFB66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<sst xmlns="http://schemas.openxmlformats.org/spreadsheetml/2006/main" count="186" uniqueCount="127">
  <si>
    <t>Name</t>
  </si>
  <si>
    <t>Date/time</t>
  </si>
  <si>
    <t xml:space="preserve"> &lt;&lt;- enter your name here</t>
  </si>
  <si>
    <t xml:space="preserve"> &lt;&lt;- enter your Student ID here</t>
  </si>
  <si>
    <t>Panther ID</t>
  </si>
  <si>
    <t>Do Not Alter or Delete this Worksheet or you submission cannot be graded!</t>
  </si>
  <si>
    <t>(2)</t>
  </si>
  <si>
    <t xml:space="preserve"> assignment folder to receive credit for this workshop/tutorial</t>
  </si>
  <si>
    <t>(3)</t>
  </si>
  <si>
    <t>(4)</t>
  </si>
  <si>
    <t>Action</t>
  </si>
  <si>
    <t>Date/Time</t>
  </si>
  <si>
    <t>Starter Sheet</t>
  </si>
  <si>
    <t>None</t>
  </si>
  <si>
    <t>Never use a file created or started by another student (that is academic dishonesty).
All text, codes, writing, data entry, formulas, configuration and instructions must be performed by the individual submitting the work.</t>
  </si>
  <si>
    <t>Student ID</t>
  </si>
  <si>
    <t>(1)</t>
  </si>
  <si>
    <t>Excel release</t>
  </si>
  <si>
    <t>OS</t>
  </si>
  <si>
    <t xml:space="preserve">Change the file name to include your name. </t>
  </si>
  <si>
    <t>When done with your work, Click [I'm Done]</t>
  </si>
  <si>
    <t>Upload the file to the applicable iCollege</t>
  </si>
  <si>
    <r>
      <t xml:space="preserve">Add your name to </t>
    </r>
    <r>
      <rPr>
        <i/>
        <sz val="11"/>
        <color theme="5" tint="-0.499984740745262"/>
        <rFont val="Calibri"/>
        <family val="2"/>
        <scheme val="minor"/>
      </rPr>
      <t>Cell C4</t>
    </r>
    <r>
      <rPr>
        <sz val="11"/>
        <color theme="1"/>
        <rFont val="Calibri"/>
        <family val="2"/>
        <scheme val="minor"/>
      </rPr>
      <t xml:space="preserve"> and your Student ID to cell C6. Then  Click [Start Here] to finish loading data.</t>
    </r>
  </si>
  <si>
    <t>You must use Excel Desktop. Cloud Excel 365 will not work for this class.</t>
  </si>
  <si>
    <t>Common Errors</t>
  </si>
  <si>
    <t>Description</t>
  </si>
  <si>
    <t>wrong function</t>
  </si>
  <si>
    <t>boundary condition</t>
  </si>
  <si>
    <t>other</t>
  </si>
  <si>
    <t>correct answer</t>
  </si>
  <si>
    <t>Task</t>
  </si>
  <si>
    <t>Formula</t>
  </si>
  <si>
    <t>display current date</t>
  </si>
  <si>
    <t>syntax error</t>
  </si>
  <si>
    <t>Incorrect, missing or extra punctuation such as commas, periods, quotes</t>
  </si>
  <si>
    <t>argument error</t>
  </si>
  <si>
    <t>parameter or argument error (supplies incorrect data to a function)</t>
  </si>
  <si>
    <t>math error</t>
  </si>
  <si>
    <t>logic incorrect for start, end or equivalency condition</t>
  </si>
  <si>
    <t>format error</t>
  </si>
  <si>
    <t>display of value is incorrect or misleading</t>
  </si>
  <si>
    <t>Average Temperature in Atlanta</t>
  </si>
  <si>
    <t>Month</t>
  </si>
  <si>
    <t>°C</t>
  </si>
  <si>
    <t>°K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</si>
  <si>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</si>
  <si>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</si>
  <si>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</si>
  <si>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</si>
  <si>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</si>
  <si>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</si>
  <si>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</si>
  <si>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</si>
  <si>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</si>
  <si>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</si>
  <si>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</si>
  <si>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</si>
  <si>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High Temp</t>
  </si>
  <si>
    <t>Low Temp</t>
  </si>
  <si>
    <t>* Temperatures provided by USA Climate Data https://www.usclimatedata.com/climate/atlanta/georgia/united-states/usga0028</t>
  </si>
  <si>
    <t>errors not matching other categories</t>
  </si>
  <si>
    <t>Replace the Screenshot in the cell below with an image from your computer showing participants by name and date/time</t>
  </si>
  <si>
    <t>Here</t>
  </si>
  <si>
    <r>
      <t xml:space="preserve">The screenshot is worth points if it contains </t>
    </r>
    <r>
      <rPr>
        <i/>
        <sz val="11"/>
        <color rgb="FF0070C0"/>
        <rFont val="Calibri"/>
        <family val="2"/>
        <scheme val="minor"/>
      </rPr>
      <t>two or more students registered in this class</t>
    </r>
    <r>
      <rPr>
        <sz val="11"/>
        <color theme="1"/>
        <rFont val="Calibri"/>
        <family val="2"/>
        <scheme val="minor"/>
      </rPr>
      <t xml:space="preserve"> and contans a </t>
    </r>
    <r>
      <rPr>
        <sz val="11"/>
        <color rgb="FF0070C0"/>
        <rFont val="Calibri"/>
        <family val="2"/>
        <scheme val="minor"/>
      </rPr>
      <t>current date/timestamp</t>
    </r>
    <r>
      <rPr>
        <sz val="11"/>
        <color theme="1"/>
        <rFont val="Calibri"/>
        <family val="2"/>
        <scheme val="minor"/>
      </rPr>
      <t xml:space="preserve"> for any of the days associated with the scheduled session.
The participant list must be from a web conferencing tool such as Webex, MS Teams, Skype or some other tool that allows screen sharing.</t>
    </r>
  </si>
  <si>
    <t>Windows Screen capture</t>
  </si>
  <si>
    <t>Shift-Window-S</t>
  </si>
  <si>
    <t>Macontosh Screen capture</t>
  </si>
  <si>
    <t>Shift-Command-5</t>
  </si>
  <si>
    <t>logic error</t>
  </si>
  <si>
    <t>conditional logic does not accomplish intended action</t>
  </si>
  <si>
    <t>math formula does not accomplish intended calculation</t>
  </si>
  <si>
    <t>Note: No help in columns D &amp; E below this point</t>
  </si>
  <si>
    <t>Problem Label</t>
  </si>
  <si>
    <t>compound problem</t>
  </si>
  <si>
    <t>more than one problem exists</t>
  </si>
  <si>
    <t>Round</t>
  </si>
  <si>
    <t>Trunc</t>
  </si>
  <si>
    <t>Average</t>
  </si>
  <si>
    <t>Average Low Temp °F (column N)</t>
  </si>
  <si>
    <t>Math equation: Average Winter Low Temp °F</t>
  </si>
  <si>
    <t>incorrect variable (cell)</t>
  </si>
  <si>
    <t>Avg Winter</t>
  </si>
  <si>
    <t>ROUND 2</t>
  </si>
  <si>
    <t>Round 1 Avg Winter</t>
  </si>
  <si>
    <t>Math equation: Mean Winter Low Temp °C</t>
  </si>
  <si>
    <t>Median High Temp °C</t>
  </si>
  <si>
    <t>ROUND Average Low Temp  °F to 1 digit</t>
  </si>
  <si>
    <t>includes an incorrect cell reference (pointing to the wrong data)</t>
  </si>
  <si>
    <t>ROUND Mean Low Temp  °F to 2 digits</t>
  </si>
  <si>
    <t xml:space="preserve"> </t>
  </si>
  <si>
    <t>COUNT number of months in the table</t>
  </si>
  <si>
    <t>Truncate Mean High Temp  °K</t>
  </si>
  <si>
    <t>COUNT number of temperature values in the table</t>
  </si>
  <si>
    <t>Average Low Temp °C (column O)</t>
  </si>
  <si>
    <t>Math equation: Mean Winter Low Temp °K</t>
  </si>
  <si>
    <t>VLOOKUP the High Temp °C for September</t>
  </si>
  <si>
    <t>Mean High Temp °K (column M)</t>
  </si>
  <si>
    <t>ROUND Mean Winter Low Temp  °K to 3 digits</t>
  </si>
  <si>
    <r>
      <t xml:space="preserve">Student Identification Sheet </t>
    </r>
    <r>
      <rPr>
        <sz val="11"/>
        <color theme="0" tint="-0.14999847407452621"/>
        <rFont val="Calibri"/>
        <family val="2"/>
        <scheme val="minor"/>
      </rPr>
      <t>(version8.0)</t>
    </r>
  </si>
  <si>
    <t>function name is unknown, or is incorrect for the task</t>
  </si>
  <si>
    <t>Spring 2025</t>
  </si>
  <si>
    <t>Record High</t>
  </si>
  <si>
    <t>Record Low</t>
  </si>
  <si>
    <t>Average Rain</t>
  </si>
  <si>
    <t>inches</t>
  </si>
  <si>
    <t>days</t>
  </si>
  <si>
    <t>Other Weather Stats</t>
  </si>
  <si>
    <t>AverageSnow</t>
  </si>
  <si>
    <t>Average Snow</t>
  </si>
  <si>
    <r>
      <rPr>
        <vertAlign val="superscript"/>
        <sz val="11"/>
        <color theme="1"/>
        <rFont val="Calibri Light"/>
        <family val="2"/>
      </rPr>
      <t xml:space="preserve">† </t>
    </r>
    <r>
      <rPr>
        <sz val="11"/>
        <color theme="1"/>
        <rFont val="Calibri"/>
        <family val="2"/>
      </rPr>
      <t>Data provided by Weather Trends</t>
    </r>
  </si>
  <si>
    <t>Ma</t>
  </si>
  <si>
    <t>VLOOKUP the Mean Low Temp  °C for May</t>
  </si>
  <si>
    <t>VLOOKUP the Mean Low Temp  °K for July</t>
  </si>
  <si>
    <t>VLOOKUP the Mean Low Temp  °K for Feb</t>
  </si>
  <si>
    <t>VLOOKUP the Mean Low Temp  °K for Jan</t>
  </si>
  <si>
    <r>
      <rPr>
        <sz val="11"/>
        <color theme="0" tint="-0.499984740745262"/>
        <rFont val="Calibri"/>
        <family val="2"/>
      </rPr>
      <t>°</t>
    </r>
    <r>
      <rPr>
        <sz val="11"/>
        <color theme="0" tint="-0.499984740745262"/>
        <rFont val="Calibri"/>
        <family val="2"/>
        <scheme val="minor"/>
      </rPr>
      <t>F</t>
    </r>
  </si>
  <si>
    <r>
      <rPr>
        <b/>
        <sz val="11"/>
        <color rgb="FF002060"/>
        <rFont val="Calibri"/>
        <family val="2"/>
      </rPr>
      <t>°</t>
    </r>
    <r>
      <rPr>
        <b/>
        <sz val="11"/>
        <color rgb="FF002060"/>
        <rFont val="Calibri"/>
        <family val="2"/>
        <scheme val="minor"/>
      </rPr>
      <t>F</t>
    </r>
  </si>
  <si>
    <t>Ju</t>
  </si>
  <si>
    <t>Kurt Schmitz © 2025  Do not post or reproduce.</t>
  </si>
  <si>
    <t>Kike Otufale</t>
  </si>
  <si>
    <t>002699858</t>
  </si>
  <si>
    <t>DirVer</t>
  </si>
  <si>
    <t>Welcome to Microsoft Excel version 16.93 build 119 running on Macintosh (Intel) Version 13.7.1 (Build 22H221)!</t>
  </si>
  <si>
    <t>Microsoft Office User</t>
  </si>
  <si>
    <t>S04</t>
  </si>
  <si>
    <t>Start S04</t>
  </si>
  <si>
    <t>Kike Otufale started S04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</si>
</sst>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[$-409]m/d/yy\ h:mm\ AM/PM;@"/>
    <numFmt numFmtId="165" formatCode="mmm\-dd\ hh:mm"/>
    <numFmt numFmtId="166" formatCode="dd\-mmm\ hh:mm"/>
    <numFmt numFmtId="167" formatCode="[$-F800]dddd\,\ mmmm\ dd\,\ yyyy"/>
    <numFmt numFmtId="168" formatCode="0.0"/>
    <numFmt numFmtId="169" formatCode="0.000"/>
    <numFmt numFmtId="170" formatCode="0.00000"/>
    <numFmt numFmtId="171" formatCode="0.0000"/>
    <numFmt numFmtId="172" formatCode="dd\-mmm\-yyyy\ hh:mm"/>
    <numFmt numFmtId="173" formatCode="[$-409]d\-mmm\-yyyy;@"/>
  </numFmts>
  <fonts count="4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i/>
      <sz val="11"/>
      <color theme="5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9" tint="0.59999389629810485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i/>
      <sz val="10"/>
      <color theme="4" tint="0.59999389629810485"/>
      <name val="Calibri"/>
      <family val="2"/>
      <scheme val="minor"/>
    </font>
    <font>
      <sz val="11"/>
      <color theme="1"/>
      <name val="Calibri"/>
      <family val="2"/>
    </font>
    <font>
      <sz val="11"/>
      <color theme="0" tint="-4.9989318521683403E-2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entury Schoolbook"/>
      <family val="1"/>
    </font>
    <font>
      <sz val="11"/>
      <color theme="1"/>
      <name val="Bell MT"/>
      <family val="1"/>
    </font>
    <font>
      <b/>
      <sz val="11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9"/>
      <name val="Calibri"/>
      <family val="2"/>
      <scheme val="minor"/>
    </font>
    <font>
      <b/>
      <sz val="11"/>
      <color rgb="FF0000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vertAlign val="superscript"/>
      <sz val="11"/>
      <color theme="1"/>
      <name val="Calibri Light"/>
      <family val="2"/>
    </font>
    <font>
      <b/>
      <sz val="14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b/>
      <sz val="11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1"/>
      <color rgb="FF002060"/>
      <name val="Calibri"/>
      <family val="2"/>
    </font>
    <font>
      <i/>
      <sz val="11"/>
      <color theme="0" tint="-0.499984740745262"/>
      <name val="Calibri"/>
      <family val="2"/>
      <scheme val="minor"/>
    </font>
    <font>
      <sz val="12"/>
      <color rgb="FF000000"/>
      <name val="System Font"/>
      <charset val="1"/>
    </font>
    <font>
      <sz val="9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20">
    <xf numFmtId="0" fontId="0" fillId="0" borderId="0" xfId="0"/>
    <xf numFmtId="0" fontId="1" fillId="0" borderId="0" xfId="0" applyFont="1"/>
    <xf numFmtId="0" fontId="2" fillId="0" borderId="0" xfId="0" applyFont="1"/>
    <xf numFmtId="165" fontId="2" fillId="0" borderId="0" xfId="0" applyNumberFormat="1" applyFont="1"/>
    <xf numFmtId="0" fontId="5" fillId="0" borderId="0" xfId="0" applyFont="1"/>
    <xf numFmtId="165" fontId="1" fillId="0" borderId="0" xfId="0" applyNumberFormat="1" applyFont="1"/>
    <xf numFmtId="164" fontId="1" fillId="0" borderId="0" xfId="0" applyNumberFormat="1" applyFont="1"/>
    <xf numFmtId="165" fontId="0" fillId="0" borderId="0" xfId="0" applyNumberFormat="1"/>
    <xf numFmtId="0" fontId="11" fillId="0" borderId="0" xfId="0" applyFont="1"/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quotePrefix="1" applyAlignment="1">
      <alignment horizontal="center" vertical="center"/>
    </xf>
    <xf numFmtId="0" fontId="14" fillId="0" borderId="0" xfId="0" applyFont="1" applyAlignment="1">
      <alignment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5" fillId="0" borderId="0" xfId="0" applyFont="1"/>
    <xf numFmtId="0" fontId="16" fillId="0" borderId="0" xfId="0" applyFont="1"/>
    <xf numFmtId="0" fontId="17" fillId="0" borderId="0" xfId="0" applyFont="1"/>
    <xf numFmtId="166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left"/>
    </xf>
    <xf numFmtId="0" fontId="12" fillId="0" borderId="0" xfId="0" applyFont="1"/>
    <xf numFmtId="0" fontId="13" fillId="0" borderId="0" xfId="0" applyFont="1"/>
    <xf numFmtId="165" fontId="4" fillId="0" borderId="0" xfId="0" applyNumberFormat="1" applyFont="1" applyAlignment="1">
      <alignment horizontal="left"/>
    </xf>
    <xf numFmtId="164" fontId="2" fillId="0" borderId="0" xfId="0" applyNumberFormat="1" applyFont="1"/>
    <xf numFmtId="0" fontId="3" fillId="0" borderId="0" xfId="0" applyFont="1"/>
    <xf numFmtId="164" fontId="0" fillId="2" borderId="1" xfId="0" applyNumberFormat="1" applyFill="1" applyBorder="1"/>
    <xf numFmtId="0" fontId="20" fillId="0" borderId="0" xfId="0" applyFont="1" applyAlignment="1">
      <alignment horizontal="right"/>
    </xf>
    <xf numFmtId="0" fontId="22" fillId="0" borderId="0" xfId="0" applyFont="1"/>
    <xf numFmtId="0" fontId="2" fillId="4" borderId="0" xfId="0" applyFont="1" applyFill="1" applyAlignment="1">
      <alignment wrapText="1"/>
    </xf>
    <xf numFmtId="0" fontId="1" fillId="0" borderId="0" xfId="0" applyFont="1" applyAlignment="1">
      <alignment horizontal="right"/>
    </xf>
    <xf numFmtId="0" fontId="2" fillId="0" borderId="0" xfId="0" applyFont="1" applyProtection="1">
      <protection hidden="1"/>
    </xf>
    <xf numFmtId="0" fontId="1" fillId="0" borderId="0" xfId="0" applyFont="1" applyProtection="1">
      <protection hidden="1"/>
    </xf>
    <xf numFmtId="0" fontId="2" fillId="0" borderId="0" xfId="0" applyFont="1" applyAlignment="1">
      <alignment wrapText="1"/>
    </xf>
    <xf numFmtId="0" fontId="2" fillId="6" borderId="0" xfId="0" applyFont="1" applyFill="1" applyAlignment="1">
      <alignment wrapText="1"/>
    </xf>
    <xf numFmtId="2" fontId="0" fillId="4" borderId="0" xfId="0" quotePrefix="1" applyNumberFormat="1" applyFill="1" applyProtection="1">
      <protection locked="0"/>
    </xf>
    <xf numFmtId="0" fontId="2" fillId="4" borderId="0" xfId="0" applyFont="1" applyFill="1" applyProtection="1">
      <protection locked="0"/>
    </xf>
    <xf numFmtId="0" fontId="2" fillId="6" borderId="0" xfId="0" applyFont="1" applyFill="1" applyProtection="1">
      <protection locked="0"/>
    </xf>
    <xf numFmtId="0" fontId="26" fillId="5" borderId="0" xfId="0" applyFont="1" applyFill="1" applyProtection="1">
      <protection hidden="1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19" fillId="0" borderId="0" xfId="0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9" fillId="0" borderId="0" xfId="0" applyFont="1" applyProtection="1">
      <protection hidden="1"/>
    </xf>
    <xf numFmtId="0" fontId="0" fillId="0" borderId="0" xfId="0" applyProtection="1">
      <protection hidden="1"/>
    </xf>
    <xf numFmtId="0" fontId="8" fillId="0" borderId="0" xfId="0" applyFont="1" applyProtection="1">
      <protection hidden="1"/>
    </xf>
    <xf numFmtId="0" fontId="0" fillId="2" borderId="2" xfId="0" applyFill="1" applyBorder="1" applyAlignment="1" applyProtection="1">
      <alignment horizontal="center" vertical="center" wrapText="1"/>
      <protection hidden="1"/>
    </xf>
    <xf numFmtId="168" fontId="0" fillId="2" borderId="2" xfId="0" applyNumberFormat="1" applyFill="1" applyBorder="1" applyAlignment="1" applyProtection="1">
      <alignment horizontal="center" vertical="center" wrapText="1"/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left"/>
    </xf>
    <xf numFmtId="0" fontId="27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/>
    <xf numFmtId="0" fontId="2" fillId="4" borderId="0" xfId="0" applyFont="1" applyFill="1"/>
    <xf numFmtId="0" fontId="22" fillId="0" borderId="0" xfId="0" applyFont="1" applyProtection="1">
      <protection locked="0"/>
    </xf>
    <xf numFmtId="0" fontId="1" fillId="5" borderId="0" xfId="0" applyFont="1" applyFill="1" applyProtection="1">
      <protection hidden="1"/>
    </xf>
    <xf numFmtId="49" fontId="0" fillId="3" borderId="1" xfId="0" applyNumberFormat="1" applyFill="1" applyBorder="1"/>
    <xf numFmtId="0" fontId="1" fillId="0" borderId="0" xfId="0" applyFont="1" applyProtection="1">
      <protection locked="0" hidden="1"/>
    </xf>
    <xf numFmtId="167" fontId="0" fillId="0" borderId="0" xfId="0" applyNumberFormat="1" applyAlignment="1">
      <alignment horizontal="center"/>
    </xf>
    <xf numFmtId="2" fontId="0" fillId="0" borderId="0" xfId="0" quotePrefix="1" applyNumberFormat="1" applyProtection="1">
      <protection locked="0"/>
    </xf>
    <xf numFmtId="169" fontId="0" fillId="4" borderId="0" xfId="0" quotePrefix="1" applyNumberFormat="1" applyFill="1" applyProtection="1">
      <protection locked="0"/>
    </xf>
    <xf numFmtId="0" fontId="27" fillId="0" borderId="0" xfId="0" applyFont="1" applyProtection="1">
      <protection locked="0"/>
    </xf>
    <xf numFmtId="0" fontId="22" fillId="0" borderId="0" xfId="0" applyFont="1" applyProtection="1">
      <protection hidden="1"/>
    </xf>
    <xf numFmtId="0" fontId="2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1" fontId="0" fillId="4" borderId="0" xfId="0" quotePrefix="1" applyNumberFormat="1" applyFill="1" applyProtection="1">
      <protection locked="0"/>
    </xf>
    <xf numFmtId="0" fontId="2" fillId="5" borderId="0" xfId="0" applyFont="1" applyFill="1" applyProtection="1">
      <protection locked="0" hidden="1"/>
    </xf>
    <xf numFmtId="168" fontId="0" fillId="0" borderId="0" xfId="0" quotePrefix="1" applyNumberFormat="1" applyProtection="1">
      <protection hidden="1"/>
    </xf>
    <xf numFmtId="0" fontId="24" fillId="0" borderId="0" xfId="0" applyFont="1" applyAlignment="1">
      <alignment horizontal="right"/>
    </xf>
    <xf numFmtId="0" fontId="1" fillId="0" borderId="0" xfId="0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right"/>
      <protection hidden="1"/>
    </xf>
    <xf numFmtId="0" fontId="2" fillId="0" borderId="0" xfId="0" applyFont="1" applyAlignment="1">
      <alignment horizontal="right"/>
    </xf>
    <xf numFmtId="0" fontId="0" fillId="0" borderId="0" xfId="0" applyAlignment="1" applyProtection="1">
      <alignment horizontal="right"/>
      <protection locked="0"/>
    </xf>
    <xf numFmtId="0" fontId="2" fillId="0" borderId="0" xfId="0" applyFont="1" applyAlignment="1" applyProtection="1">
      <alignment horizontal="right"/>
      <protection locked="0"/>
    </xf>
    <xf numFmtId="0" fontId="34" fillId="0" borderId="0" xfId="0" applyFont="1"/>
    <xf numFmtId="2" fontId="1" fillId="0" borderId="0" xfId="0" applyNumberFormat="1" applyFont="1" applyProtection="1">
      <protection locked="0"/>
    </xf>
    <xf numFmtId="0" fontId="35" fillId="0" borderId="0" xfId="0" applyFont="1" applyAlignment="1">
      <alignment horizontal="right"/>
    </xf>
    <xf numFmtId="170" fontId="0" fillId="0" borderId="0" xfId="0" quotePrefix="1" applyNumberFormat="1" applyProtection="1">
      <protection locked="0"/>
    </xf>
    <xf numFmtId="0" fontId="21" fillId="0" borderId="4" xfId="0" applyFont="1" applyBorder="1" applyAlignment="1" applyProtection="1">
      <alignment vertical="center"/>
      <protection hidden="1"/>
    </xf>
    <xf numFmtId="0" fontId="36" fillId="0" borderId="3" xfId="0" applyFont="1" applyBorder="1" applyAlignment="1" applyProtection="1">
      <alignment vertical="center"/>
      <protection hidden="1"/>
    </xf>
    <xf numFmtId="0" fontId="36" fillId="0" borderId="5" xfId="0" applyFont="1" applyBorder="1" applyAlignment="1" applyProtection="1">
      <alignment vertical="center"/>
      <protection hidden="1"/>
    </xf>
    <xf numFmtId="0" fontId="36" fillId="0" borderId="2" xfId="0" applyFont="1" applyBorder="1" applyAlignment="1" applyProtection="1">
      <alignment horizontal="center" vertical="center"/>
      <protection hidden="1"/>
    </xf>
    <xf numFmtId="0" fontId="12" fillId="0" borderId="0" xfId="0" applyFont="1" applyAlignment="1">
      <alignment horizontal="center" vertical="center"/>
    </xf>
    <xf numFmtId="0" fontId="25" fillId="0" borderId="0" xfId="0" applyFont="1" applyProtection="1">
      <protection hidden="1"/>
    </xf>
    <xf numFmtId="0" fontId="38" fillId="0" borderId="4" xfId="0" applyFont="1" applyBorder="1" applyAlignment="1" applyProtection="1">
      <alignment vertical="center"/>
      <protection hidden="1"/>
    </xf>
    <xf numFmtId="0" fontId="38" fillId="0" borderId="4" xfId="0" applyFont="1" applyBorder="1" applyAlignment="1" applyProtection="1">
      <alignment horizontal="center" vertical="center"/>
      <protection hidden="1"/>
    </xf>
    <xf numFmtId="0" fontId="39" fillId="0" borderId="2" xfId="0" applyFont="1" applyBorder="1" applyAlignment="1" applyProtection="1">
      <alignment horizontal="center" vertical="center"/>
      <protection hidden="1"/>
    </xf>
    <xf numFmtId="0" fontId="40" fillId="0" borderId="2" xfId="0" applyFont="1" applyBorder="1" applyAlignment="1" applyProtection="1">
      <alignment horizontal="center" vertical="center"/>
      <protection hidden="1"/>
    </xf>
    <xf numFmtId="0" fontId="39" fillId="0" borderId="2" xfId="0" applyFont="1" applyBorder="1" applyAlignment="1" applyProtection="1">
      <alignment horizontal="center" vertical="center" wrapText="1"/>
      <protection hidden="1"/>
    </xf>
    <xf numFmtId="0" fontId="39" fillId="2" borderId="2" xfId="0" applyFont="1" applyFill="1" applyBorder="1" applyAlignment="1" applyProtection="1">
      <alignment horizontal="center" vertical="center" wrapText="1"/>
      <protection hidden="1"/>
    </xf>
    <xf numFmtId="168" fontId="39" fillId="2" borderId="2" xfId="0" applyNumberFormat="1" applyFont="1" applyFill="1" applyBorder="1" applyAlignment="1" applyProtection="1">
      <alignment horizontal="center" vertical="center" wrapText="1"/>
      <protection hidden="1"/>
    </xf>
    <xf numFmtId="2" fontId="39" fillId="2" borderId="2" xfId="0" applyNumberFormat="1" applyFont="1" applyFill="1" applyBorder="1" applyAlignment="1" applyProtection="1">
      <alignment horizontal="center" vertical="center" wrapText="1"/>
      <protection hidden="1"/>
    </xf>
    <xf numFmtId="0" fontId="39" fillId="2" borderId="2" xfId="0" applyFont="1" applyFill="1" applyBorder="1" applyAlignment="1" applyProtection="1">
      <alignment horizontal="center" vertical="center"/>
      <protection hidden="1"/>
    </xf>
    <xf numFmtId="0" fontId="41" fillId="0" borderId="2" xfId="0" applyFont="1" applyBorder="1" applyAlignment="1" applyProtection="1">
      <alignment horizontal="center" vertical="center"/>
      <protection hidden="1"/>
    </xf>
    <xf numFmtId="0" fontId="41" fillId="0" borderId="2" xfId="0" applyFont="1" applyBorder="1" applyAlignment="1" applyProtection="1">
      <alignment horizontal="center" vertical="center" wrapText="1"/>
      <protection hidden="1"/>
    </xf>
    <xf numFmtId="0" fontId="42" fillId="0" borderId="4" xfId="0" applyFont="1" applyBorder="1" applyAlignment="1" applyProtection="1">
      <alignment horizontal="center" vertical="center"/>
      <protection hidden="1"/>
    </xf>
    <xf numFmtId="0" fontId="43" fillId="0" borderId="2" xfId="0" applyFont="1" applyBorder="1" applyAlignment="1" applyProtection="1">
      <alignment horizontal="center" vertical="center"/>
      <protection hidden="1"/>
    </xf>
    <xf numFmtId="165" fontId="44" fillId="0" borderId="0" xfId="0" applyNumberFormat="1" applyFont="1" applyAlignment="1">
      <alignment horizontal="left"/>
    </xf>
    <xf numFmtId="169" fontId="1" fillId="0" borderId="0" xfId="0" applyNumberFormat="1" applyFont="1" applyProtection="1">
      <protection hidden="1"/>
    </xf>
    <xf numFmtId="171" fontId="1" fillId="0" borderId="0" xfId="0" applyNumberFormat="1" applyFont="1" applyProtection="1">
      <protection hidden="1"/>
    </xf>
    <xf numFmtId="170" fontId="1" fillId="0" borderId="0" xfId="0" applyNumberFormat="1" applyFont="1" applyProtection="1">
      <protection hidden="1"/>
    </xf>
    <xf numFmtId="167" fontId="0" fillId="0" borderId="0" xfId="0" applyNumberFormat="1" applyAlignment="1" applyProtection="1">
      <alignment horizontal="right"/>
      <protection hidden="1"/>
    </xf>
    <xf numFmtId="167" fontId="0" fillId="0" borderId="0" xfId="0" applyNumberFormat="1" applyAlignment="1">
      <alignment horizontal="right"/>
    </xf>
    <xf numFmtId="167" fontId="0" fillId="0" borderId="0" xfId="0" applyNumberFormat="1" applyProtection="1">
      <protection hidden="1"/>
    </xf>
    <xf numFmtId="167" fontId="0" fillId="0" borderId="0" xfId="0" applyNumberFormat="1"/>
    <xf numFmtId="167" fontId="1" fillId="0" borderId="0" xfId="0" applyNumberFormat="1" applyFont="1" applyProtection="1">
      <protection hidden="1"/>
    </xf>
    <xf numFmtId="167" fontId="2" fillId="0" borderId="0" xfId="0" applyNumberFormat="1" applyFont="1" applyProtection="1">
      <protection hidden="1"/>
    </xf>
    <xf numFmtId="2" fontId="0" fillId="2" borderId="2" xfId="0" applyNumberFormat="1" applyFill="1" applyBorder="1" applyAlignment="1" applyProtection="1">
      <alignment horizontal="center" vertical="center" wrapText="1"/>
      <protection hidden="1"/>
    </xf>
    <xf numFmtId="172" fontId="2" fillId="0" borderId="0" xfId="0" applyNumberFormat="1" applyFont="1"/>
    <xf numFmtId="173" fontId="0" fillId="4" borderId="0" xfId="0" quotePrefix="1" applyNumberFormat="1" applyFill="1" applyProtection="1">
      <protection locked="0"/>
    </xf>
    <xf numFmtId="0" fontId="11" fillId="0" borderId="0" xfId="0" applyFont="1" applyAlignment="1">
      <alignment horizontal="center" vertical="center" wrapText="1"/>
    </xf>
    <xf numFmtId="0" fontId="36" fillId="0" borderId="6" xfId="0" applyFont="1" applyBorder="1" applyAlignment="1" applyProtection="1">
      <alignment horizontal="center" vertical="center" wrapText="1"/>
      <protection hidden="1"/>
    </xf>
    <xf numFmtId="0" fontId="36" fillId="0" borderId="7" xfId="0" applyFont="1" applyBorder="1" applyAlignment="1" applyProtection="1">
      <alignment horizontal="center" vertical="center" wrapText="1"/>
      <protection hidden="1"/>
    </xf>
    <xf numFmtId="0" fontId="42" fillId="0" borderId="3" xfId="0" applyFont="1" applyBorder="1" applyAlignment="1" applyProtection="1">
      <alignment horizontal="center" vertical="center"/>
      <protection hidden="1"/>
    </xf>
    <xf numFmtId="0" fontId="42" fillId="0" borderId="4" xfId="0" applyFont="1" applyBorder="1" applyAlignment="1" applyProtection="1">
      <alignment horizontal="center" vertical="center"/>
      <protection hidden="1"/>
    </xf>
    <xf numFmtId="0" fontId="42" fillId="0" borderId="5" xfId="0" applyFont="1" applyBorder="1" applyAlignment="1" applyProtection="1">
      <alignment horizontal="center" vertical="center"/>
      <protection hidden="1"/>
    </xf>
    <xf numFmtId="0" fontId="38" fillId="0" borderId="6" xfId="0" applyFont="1" applyBorder="1" applyAlignment="1" applyProtection="1">
      <alignment horizontal="center" vertical="center" wrapText="1"/>
      <protection hidden="1"/>
    </xf>
    <xf numFmtId="0" fontId="38" fillId="0" borderId="7" xfId="0" applyFont="1" applyBorder="1" applyAlignment="1" applyProtection="1">
      <alignment horizontal="center" vertical="center" wrapText="1"/>
      <protection hidden="1"/>
    </xf>
  </cellXfs>
  <cellStyles count="94">
    <cellStyle name="Comma 2" xfId="92" xr:uid="{00000000-0005-0000-0000-000000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  <cellStyle name="Normal 2" xfId="91" xr:uid="{00000000-0005-0000-0000-00005C000000}"/>
    <cellStyle name="Percent 2" xfId="93" xr:uid="{00000000-0005-0000-0000-00005D000000}"/>
  </cellStyles>
  <dxfs count="3">
    <dxf>
      <font>
        <color theme="1"/>
      </font>
    </dxf>
    <dxf>
      <font>
        <color theme="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9</xdr:row>
      <xdr:rowOff>25400</xdr:rowOff>
    </xdr:from>
    <xdr:to>
      <xdr:col>2</xdr:col>
      <xdr:colOff>1758950</xdr:colOff>
      <xdr:row>9</xdr:row>
      <xdr:rowOff>292100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3</xdr:col>
      <xdr:colOff>0</xdr:colOff>
      <xdr:row>11</xdr:row>
      <xdr:rowOff>266700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122990</xdr:rowOff>
    </xdr:to>
    <xdr:sp macro="" textlink="">
      <xdr:nvSpPr>
        <xdr:cNvPr id="103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9</xdr:row>
          <xdr:rowOff>25400</xdr:rowOff>
        </xdr:from>
        <xdr:to>
          <xdr:col>2</xdr:col>
          <xdr:colOff>1727200</xdr:colOff>
          <xdr:row>10</xdr:row>
          <xdr:rowOff>292100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Start Here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122990</xdr:rowOff>
    </xdr:to>
    <xdr:sp macro="" textlink="">
      <xdr:nvSpPr>
        <xdr:cNvPr id="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122990</xdr:rowOff>
    </xdr:to>
    <xdr:sp macro="" textlink="">
      <xdr:nvSpPr>
        <xdr:cNvPr id="8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11</xdr:row>
      <xdr:rowOff>276225</xdr:rowOff>
    </xdr:to>
    <xdr:sp macro="" textlink="">
      <xdr:nvSpPr>
        <xdr:cNvPr id="2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752600" y="2794000"/>
          <a:ext cx="1762125" cy="263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3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752600" y="318770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4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752600" y="318770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0</xdr:rowOff>
    </xdr:to>
    <xdr:sp macro="" textlink="">
      <xdr:nvSpPr>
        <xdr:cNvPr id="5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1752600" y="318770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0</xdr:rowOff>
    </xdr:to>
    <xdr:sp macro="" textlink="">
      <xdr:nvSpPr>
        <xdr:cNvPr id="6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1752600" y="318770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7854</xdr:colOff>
      <xdr:row>11</xdr:row>
      <xdr:rowOff>193675</xdr:rowOff>
    </xdr:to>
    <xdr:sp macro="" textlink="">
      <xdr:nvSpPr>
        <xdr:cNvPr id="9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1752600" y="2794000"/>
          <a:ext cx="1769979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122990</xdr:rowOff>
    </xdr:to>
    <xdr:sp macro="" textlink="">
      <xdr:nvSpPr>
        <xdr:cNvPr id="1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5159BA18-FC0F-4051-B6A6-6902838B9B85}"/>
            </a:ext>
          </a:extLst>
        </xdr:cNvPr>
        <xdr:cNvSpPr/>
      </xdr:nvSpPr>
      <xdr:spPr bwMode="auto">
        <a:xfrm>
          <a:off x="1752600" y="311150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122990</xdr:rowOff>
    </xdr:to>
    <xdr:sp macro="" textlink="">
      <xdr:nvSpPr>
        <xdr:cNvPr id="11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4ED1A0A4-2342-4970-A6B4-8F487C5F3F90}"/>
            </a:ext>
          </a:extLst>
        </xdr:cNvPr>
        <xdr:cNvSpPr/>
      </xdr:nvSpPr>
      <xdr:spPr bwMode="auto">
        <a:xfrm>
          <a:off x="1752600" y="311150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122990</xdr:rowOff>
    </xdr:to>
    <xdr:sp macro="" textlink="">
      <xdr:nvSpPr>
        <xdr:cNvPr id="12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3E14F4F7-62A6-4526-81EE-D20CAF06D6CD}"/>
            </a:ext>
          </a:extLst>
        </xdr:cNvPr>
        <xdr:cNvSpPr/>
      </xdr:nvSpPr>
      <xdr:spPr bwMode="auto">
        <a:xfrm>
          <a:off x="1752600" y="311150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13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48D4B020-88D1-4C67-9DA4-0CD0C2F92545}"/>
            </a:ext>
          </a:extLst>
        </xdr:cNvPr>
        <xdr:cNvSpPr/>
      </xdr:nvSpPr>
      <xdr:spPr bwMode="auto">
        <a:xfrm>
          <a:off x="1752600" y="330200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14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7E8C8280-339A-46E9-9F15-8B1EF2C87CF5}"/>
            </a:ext>
          </a:extLst>
        </xdr:cNvPr>
        <xdr:cNvSpPr/>
      </xdr:nvSpPr>
      <xdr:spPr bwMode="auto">
        <a:xfrm>
          <a:off x="1752600" y="330200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0</xdr:rowOff>
    </xdr:to>
    <xdr:sp macro="" textlink="">
      <xdr:nvSpPr>
        <xdr:cNvPr id="15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DDB7570B-AAC5-41EE-A550-9DDC4B347255}"/>
            </a:ext>
          </a:extLst>
        </xdr:cNvPr>
        <xdr:cNvSpPr/>
      </xdr:nvSpPr>
      <xdr:spPr bwMode="auto">
        <a:xfrm>
          <a:off x="1752600" y="3302000"/>
          <a:ext cx="1768475" cy="165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0</xdr:rowOff>
    </xdr:to>
    <xdr:sp macro="" textlink="">
      <xdr:nvSpPr>
        <xdr:cNvPr id="16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44256CF6-D0D3-483D-90D7-FFD12474A3F7}"/>
            </a:ext>
          </a:extLst>
        </xdr:cNvPr>
        <xdr:cNvSpPr/>
      </xdr:nvSpPr>
      <xdr:spPr bwMode="auto">
        <a:xfrm>
          <a:off x="1752600" y="3302000"/>
          <a:ext cx="1768475" cy="165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17</xdr:row>
      <xdr:rowOff>25400</xdr:rowOff>
    </xdr:from>
    <xdr:to>
      <xdr:col>2</xdr:col>
      <xdr:colOff>608097</xdr:colOff>
      <xdr:row>18</xdr:row>
      <xdr:rowOff>122990</xdr:rowOff>
    </xdr:to>
    <xdr:sp macro="" textlink="">
      <xdr:nvSpPr>
        <xdr:cNvPr id="1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7C62BD14-5FB1-48EB-93B8-7C1EF0A59E03}"/>
            </a:ext>
          </a:extLst>
        </xdr:cNvPr>
        <xdr:cNvSpPr/>
      </xdr:nvSpPr>
      <xdr:spPr bwMode="auto">
        <a:xfrm>
          <a:off x="590550" y="4064000"/>
          <a:ext cx="1770147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17</xdr:row>
      <xdr:rowOff>25400</xdr:rowOff>
    </xdr:from>
    <xdr:to>
      <xdr:col>2</xdr:col>
      <xdr:colOff>608097</xdr:colOff>
      <xdr:row>18</xdr:row>
      <xdr:rowOff>122990</xdr:rowOff>
    </xdr:to>
    <xdr:sp macro="" textlink="">
      <xdr:nvSpPr>
        <xdr:cNvPr id="18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17216C29-8D33-4C28-A293-CF65E4485426}"/>
            </a:ext>
          </a:extLst>
        </xdr:cNvPr>
        <xdr:cNvSpPr/>
      </xdr:nvSpPr>
      <xdr:spPr bwMode="auto">
        <a:xfrm>
          <a:off x="590550" y="4064000"/>
          <a:ext cx="1770147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38100</xdr:rowOff>
    </xdr:from>
    <xdr:to>
      <xdr:col>8</xdr:col>
      <xdr:colOff>66675</xdr:colOff>
      <xdr:row>1</xdr:row>
      <xdr:rowOff>342900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150" y="38100"/>
          <a:ext cx="6686550" cy="790575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 this activity you will attempt to complete the task in Column A based on the</a:t>
          </a:r>
          <a:r>
            <a:rPr lang="en-US" sz="1100" baseline="0">
              <a:solidFill>
                <a:sysClr val="windowText" lastClr="000000"/>
              </a:solidFill>
            </a:rPr>
            <a:t> command in column B. Select an individual Cell in Column B (for example Cell B4), then edit the command to remove the single quote at the start of the line. When the command starts with an = Excel will try to calculate a result.  Progress through each cell in Column B, removing the single quote and proceed to solve the problem</a:t>
          </a:r>
          <a:r>
            <a:rPr lang="en-US" sz="1100">
              <a:solidFill>
                <a:sysClr val="windowText" lastClr="000000"/>
              </a:solidFill>
            </a:rPr>
            <a:t>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9"/>
  <sheetViews>
    <sheetView zoomScale="95" zoomScaleNormal="95" workbookViewId="0">
      <selection activeCell="C6" sqref="C6"/>
    </sheetView>
  </sheetViews>
  <sheetFormatPr baseColWidth="10" defaultColWidth="8.83203125" defaultRowHeight="15" x14ac:dyDescent="0.2"/>
  <cols>
    <col min="2" max="2" width="17.5" customWidth="1"/>
    <col min="3" max="3" width="26.5" customWidth="1"/>
    <col min="5" max="5" width="16.5" style="20" customWidth="1"/>
    <col min="7" max="7" width="8.83203125" style="19"/>
    <col min="8" max="8" width="110" customWidth="1"/>
    <col min="10" max="12" width="8.83203125" style="2"/>
    <col min="13" max="13" width="18.83203125" style="2" customWidth="1"/>
  </cols>
  <sheetData>
    <row r="1" spans="2:14" x14ac:dyDescent="0.2">
      <c r="G1" s="9"/>
      <c r="H1" s="10"/>
    </row>
    <row r="2" spans="2:14" x14ac:dyDescent="0.2">
      <c r="B2" t="s">
        <v>98</v>
      </c>
      <c r="E2" s="23"/>
      <c r="G2" s="9"/>
      <c r="H2" s="10"/>
      <c r="M2" s="3"/>
      <c r="N2" s="2"/>
    </row>
    <row r="3" spans="2:14" ht="16" thickBot="1" x14ac:dyDescent="0.25">
      <c r="G3" s="9"/>
      <c r="H3" s="10"/>
      <c r="M3" s="24"/>
      <c r="N3" s="2"/>
    </row>
    <row r="4" spans="2:14" ht="16" thickBot="1" x14ac:dyDescent="0.25">
      <c r="B4" t="s">
        <v>0</v>
      </c>
      <c r="C4" s="58" t="s">
        <v>119</v>
      </c>
      <c r="D4" s="25" t="s">
        <v>2</v>
      </c>
      <c r="G4" s="11" t="s">
        <v>16</v>
      </c>
      <c r="H4" s="10" t="s">
        <v>22</v>
      </c>
      <c r="M4" s="24"/>
    </row>
    <row r="5" spans="2:14" ht="16" thickBot="1" x14ac:dyDescent="0.25">
      <c r="G5" s="11" t="s">
        <v>6</v>
      </c>
      <c r="H5" s="10" t="s">
        <v>19</v>
      </c>
      <c r="M5" s="24"/>
    </row>
    <row r="6" spans="2:14" ht="16" thickBot="1" x14ac:dyDescent="0.25">
      <c r="B6" t="s">
        <v>15</v>
      </c>
      <c r="C6" s="58" t="s">
        <v>120</v>
      </c>
      <c r="D6" s="25" t="s">
        <v>3</v>
      </c>
      <c r="G6" s="11" t="s">
        <v>8</v>
      </c>
      <c r="H6" s="10" t="s">
        <v>20</v>
      </c>
      <c r="M6" s="24"/>
    </row>
    <row r="7" spans="2:14" ht="16" thickBot="1" x14ac:dyDescent="0.25">
      <c r="G7" s="11" t="s">
        <v>8</v>
      </c>
      <c r="H7" s="10" t="s">
        <v>21</v>
      </c>
      <c r="M7" s="24"/>
    </row>
    <row r="8" spans="2:14" ht="16" thickBot="1" x14ac:dyDescent="0.25">
      <c r="B8" t="s">
        <v>1</v>
      </c>
      <c r="C8" s="26">
        <f ca="1">NOW()</f>
        <v>45698.92354074074</v>
      </c>
      <c r="G8" s="11"/>
      <c r="H8" s="10" t="s">
        <v>7</v>
      </c>
    </row>
    <row r="9" spans="2:14" ht="46.5" customHeight="1" x14ac:dyDescent="0.2">
      <c r="C9" s="84" t="s">
        <v>100</v>
      </c>
      <c r="G9" s="13" t="s">
        <v>9</v>
      </c>
      <c r="H9" s="14" t="s">
        <v>14</v>
      </c>
    </row>
    <row r="10" spans="2:14" ht="24" customHeight="1" x14ac:dyDescent="0.2">
      <c r="C10" s="112" t="s">
        <v>23</v>
      </c>
      <c r="E10" s="18">
        <v>45698.868604861113</v>
      </c>
      <c r="F10" t="s">
        <v>126</v>
      </c>
    </row>
    <row r="11" spans="2:14" ht="24" customHeight="1" x14ac:dyDescent="0.2">
      <c r="C11" s="112"/>
      <c r="H11" s="12"/>
    </row>
    <row r="12" spans="2:14" ht="24" customHeight="1" x14ac:dyDescent="0.2">
      <c r="C12" s="42"/>
    </row>
    <row r="13" spans="2:14" ht="15" customHeight="1" x14ac:dyDescent="0.2">
      <c r="C13" s="76" t="str">
        <f ca="1">IFERROR(INFO("Directory"),"Directory path unknown")</f>
        <v>/Users/Shared/CIS2010/</v>
      </c>
    </row>
    <row r="14" spans="2:14" ht="15" customHeight="1" x14ac:dyDescent="0.2">
      <c r="C14" t="str">
        <f ca="1">IFERROR(IF(INFO("system")="pcdos","Directory path should be C:\Users\Public\CIS2010","Directory path should be /Users/Shared/CIS2010"),"You must install and use Excel Desktop starting session 2")</f>
        <v>Directory path should be /Users/Shared/CIS2010</v>
      </c>
    </row>
    <row r="15" spans="2:14" ht="15" customHeight="1" x14ac:dyDescent="0.2"/>
    <row r="16" spans="2:14" x14ac:dyDescent="0.2">
      <c r="C16" s="54" t="str">
        <f ca="1">IFERROR(_xlfn.XLOOKUP("OS",B4:B19,C4:C19),"Upgrade to Excel 2021")</f>
        <v>Macintosh (Intel) Version 13.7.1 (Build 22H221)</v>
      </c>
    </row>
    <row r="17" spans="2:4" x14ac:dyDescent="0.2">
      <c r="B17" s="21" t="s">
        <v>17</v>
      </c>
      <c r="C17" s="21" t="str">
        <f ca="1">INFO("release")</f>
        <v>16.93</v>
      </c>
      <c r="D17" s="22"/>
    </row>
    <row r="18" spans="2:4" x14ac:dyDescent="0.2">
      <c r="B18" s="1" t="s">
        <v>18</v>
      </c>
      <c r="C18" s="1" t="str">
        <f ca="1">INFO("OSVERSION")</f>
        <v>Macintosh (Intel) Version 13.7.1 (Build 22H221)</v>
      </c>
      <c r="D18" s="21"/>
    </row>
    <row r="19" spans="2:4" x14ac:dyDescent="0.2">
      <c r="B19" s="99" t="s">
        <v>118</v>
      </c>
    </row>
  </sheetData>
  <sheetProtection algorithmName="SHA-512" hashValue="zEWR/boonB/hq2HbRJrvP4noCdF2TI82mwTNc9Yl28ex2X7R7ogj+8FZIW5IHY8G0beyIzPvNf9iQ5BNaY5/QQ==" saltValue="ATk/gYcCoGvmI+rPNK3h0A==" spinCount="100000" sheet="1" objects="1" scenarios="1"/>
  <mergeCells count="1">
    <mergeCell ref="C10:C11"/>
  </mergeCells>
  <conditionalFormatting sqref="C16">
    <cfRule type="cellIs" dxfId="2" priority="1" operator="notEqual">
      <formula>$C$18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StartWorkshop_Click">
                <anchor moveWithCells="1" sizeWithCells="1">
                  <from>
                    <xdr:col>2</xdr:col>
                    <xdr:colOff>25400</xdr:colOff>
                    <xdr:row>9</xdr:row>
                    <xdr:rowOff>25400</xdr:rowOff>
                  </from>
                  <to>
                    <xdr:col>2</xdr:col>
                    <xdr:colOff>1727200</xdr:colOff>
                    <xdr:row>10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D8F2-0270-4AAA-B3C2-597C859AB2AC}">
  <sheetPr codeName="Sheet6"/>
  <dimension ref="A1:C5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25.6640625" customWidth="1"/>
    <col min="2" max="2" width="63.83203125" customWidth="1"/>
    <col min="3" max="3" width="40.5" customWidth="1"/>
  </cols>
  <sheetData>
    <row r="1" spans="1:3" ht="16" thickBot="1" x14ac:dyDescent="0.25">
      <c r="A1" s="26">
        <f ca="1">NOW()</f>
        <v>45698.923540625001</v>
      </c>
      <c r="B1" s="49" t="s">
        <v>61</v>
      </c>
    </row>
    <row r="2" spans="1:3" ht="251.25" customHeight="1" thickBot="1" x14ac:dyDescent="0.25">
      <c r="B2" s="50" t="s">
        <v>62</v>
      </c>
      <c r="C2" s="51" t="s">
        <v>63</v>
      </c>
    </row>
    <row r="4" spans="1:3" s="53" customFormat="1" ht="22.5" customHeight="1" x14ac:dyDescent="0.2">
      <c r="A4" s="51" t="s">
        <v>64</v>
      </c>
      <c r="B4" s="52" t="s">
        <v>65</v>
      </c>
    </row>
    <row r="5" spans="1:3" s="53" customFormat="1" ht="22.5" customHeight="1" x14ac:dyDescent="0.2">
      <c r="A5" s="51" t="s">
        <v>66</v>
      </c>
      <c r="B5" s="5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FFFF"/>
  </sheetPr>
  <dimension ref="A1:W35"/>
  <sheetViews>
    <sheetView tabSelected="1" zoomScaleNormal="100" workbookViewId="0">
      <selection activeCell="C23" sqref="C23"/>
    </sheetView>
  </sheetViews>
  <sheetFormatPr baseColWidth="10" defaultColWidth="8.83203125" defaultRowHeight="15" x14ac:dyDescent="0.2"/>
  <cols>
    <col min="1" max="1" width="46.5" style="2" customWidth="1"/>
    <col min="2" max="2" width="17.5" style="39" customWidth="1"/>
    <col min="3" max="3" width="21" style="40" customWidth="1"/>
    <col min="4" max="4" width="9.33203125" style="1" customWidth="1"/>
    <col min="5" max="5" width="8.83203125" style="32"/>
    <col min="6" max="6" width="11.5" customWidth="1"/>
    <col min="7" max="9" width="3.5" hidden="1" customWidth="1"/>
    <col min="10" max="16" width="10.6640625" style="44" customWidth="1"/>
    <col min="17" max="17" width="8.83203125" style="44"/>
    <col min="19" max="19" width="8.83203125" customWidth="1"/>
    <col min="20" max="20" width="9.33203125" customWidth="1"/>
    <col min="21" max="21" width="8.83203125" customWidth="1"/>
  </cols>
  <sheetData>
    <row r="1" spans="1:23" s="19" customFormat="1" ht="38.25" customHeight="1" x14ac:dyDescent="0.2">
      <c r="A1" s="78" t="s">
        <v>100</v>
      </c>
      <c r="B1" s="71" t="s">
        <v>119</v>
      </c>
      <c r="C1" s="71"/>
      <c r="D1" s="72"/>
      <c r="E1" s="72"/>
      <c r="H1" s="70"/>
      <c r="I1" s="27"/>
      <c r="J1" s="72" t="s">
        <v>45</v>
      </c>
      <c r="K1" s="72">
        <v>1</v>
      </c>
      <c r="L1" s="72">
        <v>10</v>
      </c>
      <c r="M1" s="72">
        <v>100</v>
      </c>
      <c r="N1" s="72">
        <v>1.1000000000000001</v>
      </c>
      <c r="O1" s="72">
        <v>11.11111</v>
      </c>
      <c r="P1" s="72">
        <v>111.11111</v>
      </c>
      <c r="Q1" s="103"/>
      <c r="R1" s="104"/>
      <c r="S1" s="104"/>
      <c r="T1" s="104"/>
      <c r="U1" s="104"/>
      <c r="V1" s="104"/>
      <c r="W1" s="104"/>
    </row>
    <row r="2" spans="1:23" ht="38.25" customHeight="1" x14ac:dyDescent="0.2">
      <c r="A2" s="73"/>
      <c r="B2" s="74"/>
      <c r="C2" s="75"/>
      <c r="D2" s="72"/>
      <c r="E2" s="72"/>
      <c r="F2" s="19"/>
      <c r="H2" s="30"/>
      <c r="I2" s="30"/>
      <c r="J2" s="81" t="s">
        <v>117</v>
      </c>
      <c r="K2" s="80"/>
      <c r="L2" s="80"/>
      <c r="M2" s="97" t="s">
        <v>41</v>
      </c>
      <c r="N2" s="80"/>
      <c r="O2" s="80"/>
      <c r="P2" s="82">
        <v>22.7</v>
      </c>
      <c r="Q2" s="105"/>
      <c r="R2" s="106"/>
      <c r="S2" s="106"/>
      <c r="T2" s="106"/>
      <c r="U2" s="106"/>
      <c r="V2" s="106"/>
      <c r="W2" s="106"/>
    </row>
    <row r="3" spans="1:23" ht="19" x14ac:dyDescent="0.2">
      <c r="A3" s="28" t="s">
        <v>30</v>
      </c>
      <c r="B3" s="41" t="s">
        <v>31</v>
      </c>
      <c r="C3" s="56" t="s">
        <v>72</v>
      </c>
      <c r="D3" s="64"/>
      <c r="E3" s="31"/>
      <c r="F3" s="65"/>
      <c r="G3" s="66"/>
      <c r="H3" s="2"/>
      <c r="I3" s="2"/>
      <c r="J3" s="83" t="s">
        <v>49</v>
      </c>
      <c r="K3" s="115" t="s">
        <v>57</v>
      </c>
      <c r="L3" s="116"/>
      <c r="M3" s="117"/>
      <c r="N3" s="115" t="s">
        <v>58</v>
      </c>
      <c r="O3" s="116"/>
      <c r="P3" s="117"/>
      <c r="Q3" s="105"/>
      <c r="R3" s="106"/>
      <c r="S3" s="106"/>
      <c r="T3" s="106"/>
      <c r="U3" s="106"/>
      <c r="V3" s="106"/>
      <c r="W3" s="106"/>
    </row>
    <row r="4" spans="1:23" ht="17.25" customHeight="1" x14ac:dyDescent="0.2">
      <c r="A4" s="55" t="s">
        <v>32</v>
      </c>
      <c r="B4" s="111">
        <f ca="1">NOW()</f>
        <v>45698.923540625001</v>
      </c>
      <c r="C4" s="36" t="s">
        <v>39</v>
      </c>
      <c r="D4" s="59" t="str">
        <f>IF(C4=CommonErrors!A8,"Good","")</f>
        <v>Good</v>
      </c>
      <c r="E4" s="57"/>
      <c r="J4" s="95" t="s">
        <v>42</v>
      </c>
      <c r="K4" s="95" t="s">
        <v>116</v>
      </c>
      <c r="L4" s="98" t="s">
        <v>43</v>
      </c>
      <c r="M4" s="98" t="s">
        <v>44</v>
      </c>
      <c r="N4" s="95" t="s">
        <v>116</v>
      </c>
      <c r="O4" s="98" t="s">
        <v>43</v>
      </c>
      <c r="P4" s="98" t="s">
        <v>44</v>
      </c>
      <c r="Q4" s="105"/>
      <c r="R4" s="106"/>
      <c r="S4" s="106"/>
      <c r="T4" s="60"/>
      <c r="U4" s="106"/>
      <c r="V4" s="106"/>
      <c r="W4" s="106"/>
    </row>
    <row r="5" spans="1:23" ht="17.25" customHeight="1" x14ac:dyDescent="0.2">
      <c r="A5" s="29" t="s">
        <v>78</v>
      </c>
      <c r="B5" s="62">
        <f>AVERAGE(N5:N16)</f>
        <v>60.083333333333336</v>
      </c>
      <c r="C5" s="36" t="s">
        <v>73</v>
      </c>
      <c r="D5" s="59" t="str" cm="1">
        <f t="array" ref="D5">_xlfn.IFS(C5=CommonErrors!$A$3,"Good", C5=CommonErrors!$A$4,"Good", C5=CommonErrors!$A$10,"Good")</f>
        <v>Good</v>
      </c>
      <c r="E5" s="32" t="str">
        <f>IF(B5=AutoPointPenalty!$E$3,"Correct solution","")</f>
        <v>Correct solution</v>
      </c>
      <c r="J5" s="96" t="s">
        <v>45</v>
      </c>
      <c r="K5" s="46">
        <v>61</v>
      </c>
      <c r="L5" s="47">
        <v>16.111111111111111</v>
      </c>
      <c r="M5" s="109">
        <v>289.26111111111106</v>
      </c>
      <c r="N5" s="48">
        <v>43</v>
      </c>
      <c r="O5" s="47">
        <v>6.1111111111111116</v>
      </c>
      <c r="P5" s="109">
        <v>279.26111111111106</v>
      </c>
      <c r="Q5" s="105"/>
      <c r="R5" s="106"/>
      <c r="S5" s="106"/>
      <c r="T5" s="60"/>
      <c r="U5" s="106"/>
      <c r="V5" s="106"/>
      <c r="W5" s="106"/>
    </row>
    <row r="6" spans="1:23" ht="17.25" customHeight="1" x14ac:dyDescent="0.2">
      <c r="A6" s="29" t="s">
        <v>96</v>
      </c>
      <c r="B6" s="35">
        <f>AVERAGE(M5:M16)</f>
        <v>294.39999999999992</v>
      </c>
      <c r="C6" s="36" t="s">
        <v>35</v>
      </c>
      <c r="D6" s="59" t="str">
        <f>IF(C6=CommonErrors!A4,"Good","")</f>
        <v>Good</v>
      </c>
      <c r="E6" s="32" t="str">
        <f>IF(B6=AutoPointPenalty!$H$3,"Correct solution","")</f>
        <v>Correct solution</v>
      </c>
      <c r="J6" s="95" t="s">
        <v>46</v>
      </c>
      <c r="K6" s="48">
        <v>52</v>
      </c>
      <c r="L6" s="47">
        <v>11.111111111111111</v>
      </c>
      <c r="M6" s="109">
        <v>284.26111111111106</v>
      </c>
      <c r="N6" s="48">
        <v>37</v>
      </c>
      <c r="O6" s="47">
        <v>2.7777777777777777</v>
      </c>
      <c r="P6" s="109">
        <v>275.92777777777775</v>
      </c>
      <c r="Q6" s="105"/>
      <c r="R6" s="106"/>
      <c r="S6" s="106"/>
      <c r="T6" s="60"/>
      <c r="U6" s="106"/>
      <c r="V6" s="106"/>
      <c r="W6" s="106"/>
    </row>
    <row r="7" spans="1:23" ht="17.25" customHeight="1" x14ac:dyDescent="0.2">
      <c r="A7" s="33" t="s">
        <v>93</v>
      </c>
      <c r="B7" s="61">
        <f>AVERAGE(O5:O16)</f>
        <v>15.601851851851849</v>
      </c>
      <c r="C7" s="37" t="s">
        <v>35</v>
      </c>
      <c r="D7" s="59" t="str" cm="1">
        <f t="array" ref="D7">_xlfn.IFS(C7=CommonErrors!$A$4,"Good",C7=CommonErrors!$A$9,"Good")</f>
        <v>Good</v>
      </c>
      <c r="E7" s="32" t="str">
        <f>IF(B7=AutoPointPenalty!$B$9,"Correct solution","")</f>
        <v>Correct solution</v>
      </c>
      <c r="F7" s="19"/>
      <c r="J7" s="95" t="s">
        <v>47</v>
      </c>
      <c r="K7" s="48">
        <v>72</v>
      </c>
      <c r="L7" s="47">
        <v>22.222222222222221</v>
      </c>
      <c r="M7" s="109">
        <v>295.37222222222221</v>
      </c>
      <c r="N7" s="48">
        <v>54</v>
      </c>
      <c r="O7" s="47">
        <v>12.222222222222223</v>
      </c>
      <c r="P7" s="109">
        <v>285.37222222222221</v>
      </c>
      <c r="Q7" s="105"/>
      <c r="R7" s="106"/>
      <c r="S7" s="106"/>
      <c r="T7" s="106"/>
      <c r="U7" s="106"/>
      <c r="V7" s="106"/>
      <c r="W7" s="106"/>
    </row>
    <row r="8" spans="1:23" ht="17.25" customHeight="1" x14ac:dyDescent="0.2">
      <c r="A8" s="29" t="s">
        <v>84</v>
      </c>
      <c r="B8" s="35">
        <f>(O5+O6+O16)/3</f>
        <v>6.481481481481481</v>
      </c>
      <c r="C8" s="36" t="s">
        <v>37</v>
      </c>
      <c r="D8" s="59" t="str" cm="1">
        <f t="array" ref="D8">_xlfn.IFS(C8=CommonErrors!$A$5,"Good",C8=CommonErrors!$A$2,"Good",C8=CommonErrors!$A$9,"Good",C8=CommonErrors!$A$10,"Good")</f>
        <v>Good</v>
      </c>
      <c r="E8" s="32" t="str">
        <f>IF(B8=AutoPointPenalty!F1,"Correct solution","")</f>
        <v>Correct solution</v>
      </c>
      <c r="J8" s="95" t="s">
        <v>48</v>
      </c>
      <c r="K8" s="48">
        <v>82</v>
      </c>
      <c r="L8" s="47">
        <v>27.777777777777779</v>
      </c>
      <c r="M8" s="109">
        <v>300.92777777777775</v>
      </c>
      <c r="N8" s="48">
        <v>64</v>
      </c>
      <c r="O8" s="47">
        <v>17.777777777777779</v>
      </c>
      <c r="P8" s="109">
        <v>290.92777777777775</v>
      </c>
      <c r="Q8" s="105"/>
      <c r="R8" s="106"/>
      <c r="S8" s="106"/>
      <c r="T8" s="106"/>
      <c r="U8" s="106"/>
      <c r="V8" s="106"/>
      <c r="W8" s="106"/>
    </row>
    <row r="9" spans="1:23" ht="17.25" customHeight="1" x14ac:dyDescent="0.2">
      <c r="A9" s="29" t="s">
        <v>79</v>
      </c>
      <c r="B9" s="35">
        <f>(N5+N6+N16)/3</f>
        <v>43.666666666666664</v>
      </c>
      <c r="C9" s="36" t="s">
        <v>73</v>
      </c>
      <c r="D9" s="59" t="str" cm="1">
        <f t="array" ref="D9">_xlfn.IFS(C9=CommonErrors!$A$2,"Good",C9=CommonErrors!$A$5,"Good", C9=CommonErrors!$A$9,"Good",C9=CommonErrors!$A$10,"Good")</f>
        <v>Good</v>
      </c>
      <c r="E9" s="32" t="str">
        <f>IF(B9=AutoPointPenalty!E1,"Correct solution","")</f>
        <v>Correct solution</v>
      </c>
      <c r="J9" s="95" t="s">
        <v>49</v>
      </c>
      <c r="K9" s="48">
        <v>86</v>
      </c>
      <c r="L9" s="47">
        <v>30</v>
      </c>
      <c r="M9" s="109">
        <v>303.14999999999998</v>
      </c>
      <c r="N9" s="48">
        <v>69</v>
      </c>
      <c r="O9" s="47">
        <v>20.555555555555557</v>
      </c>
      <c r="P9" s="109">
        <v>293.70555555555552</v>
      </c>
      <c r="Q9" s="105"/>
      <c r="R9" s="106"/>
      <c r="S9" s="106"/>
      <c r="T9" s="106"/>
      <c r="U9" s="106"/>
      <c r="V9" s="106"/>
      <c r="W9" s="106"/>
    </row>
    <row r="10" spans="1:23" ht="17.25" customHeight="1" x14ac:dyDescent="0.2">
      <c r="A10" s="34" t="s">
        <v>94</v>
      </c>
      <c r="B10" s="61">
        <f>(P5+P6+P16)/3</f>
        <v>279.63148148148144</v>
      </c>
      <c r="C10" s="37" t="s">
        <v>73</v>
      </c>
      <c r="D10" s="59" t="str" cm="1">
        <f t="array" ref="D10">_xlfn.IFS(C10=CommonErrors!$A$4,"Good", C10=CommonErrors!$A$5,"Good", C10=CommonErrors!$A$9,"Good", C10=CommonErrors!$A$10,"Good")</f>
        <v>Good</v>
      </c>
      <c r="E10" s="32" t="str">
        <f>IF(B10=AutoPointPenalty!G1,"Correct solution","")</f>
        <v>Correct solution</v>
      </c>
      <c r="J10" s="95" t="s">
        <v>50</v>
      </c>
      <c r="K10" s="48">
        <v>87</v>
      </c>
      <c r="L10" s="47">
        <v>30.555555555555557</v>
      </c>
      <c r="M10" s="109">
        <v>303.70555555555552</v>
      </c>
      <c r="N10" s="48">
        <v>70</v>
      </c>
      <c r="O10" s="47">
        <v>21.111111111111111</v>
      </c>
      <c r="P10" s="109">
        <v>294.26111111111106</v>
      </c>
      <c r="Q10" s="105"/>
      <c r="R10" s="106"/>
      <c r="S10" s="106"/>
      <c r="T10" s="106"/>
      <c r="U10" s="106"/>
      <c r="V10" s="106"/>
      <c r="W10" s="106"/>
    </row>
    <row r="11" spans="1:23" ht="17.25" customHeight="1" x14ac:dyDescent="0.2">
      <c r="A11" s="29" t="s">
        <v>88</v>
      </c>
      <c r="B11" s="35">
        <f>ROUND(B5,2)</f>
        <v>60.08</v>
      </c>
      <c r="C11" s="36" t="s">
        <v>35</v>
      </c>
      <c r="D11" s="59" t="str">
        <f>IF(C11=CommonErrors!A$4,"Good","")</f>
        <v>Good</v>
      </c>
      <c r="E11" s="32" t="str">
        <f>IF(B11=AutoPointPenalty!E5,"Correct solution","")</f>
        <v>Correct solution</v>
      </c>
      <c r="J11" s="95" t="s">
        <v>51</v>
      </c>
      <c r="K11" s="48">
        <v>86</v>
      </c>
      <c r="L11" s="47">
        <v>30</v>
      </c>
      <c r="M11" s="109">
        <v>303.14999999999998</v>
      </c>
      <c r="N11" s="48">
        <v>67</v>
      </c>
      <c r="O11" s="47">
        <v>19.444444444444446</v>
      </c>
      <c r="P11" s="109">
        <v>292.59444444444443</v>
      </c>
      <c r="Q11" s="105"/>
      <c r="R11" s="106"/>
      <c r="S11" s="106"/>
      <c r="T11" s="106"/>
      <c r="U11" s="106"/>
      <c r="V11" s="106"/>
      <c r="W11" s="106"/>
    </row>
    <row r="12" spans="1:23" ht="17.25" customHeight="1" x14ac:dyDescent="0.2">
      <c r="A12" s="29" t="s">
        <v>86</v>
      </c>
      <c r="B12" s="35">
        <f>ROUND(B5,1)</f>
        <v>60.1</v>
      </c>
      <c r="C12" s="36" t="s">
        <v>35</v>
      </c>
      <c r="D12" s="59" t="str" cm="1">
        <f t="array" ref="D12">_xlfn.IFS(C12=CommonErrors!A$4,"Good")</f>
        <v>Good</v>
      </c>
      <c r="E12" s="32" t="str">
        <f>IF(B12=AutoPointPenalty!E4,"Correct solution","")</f>
        <v>Correct solution</v>
      </c>
      <c r="J12" s="95" t="s">
        <v>52</v>
      </c>
      <c r="K12" s="48">
        <v>79</v>
      </c>
      <c r="L12" s="47">
        <v>26.111111111111111</v>
      </c>
      <c r="M12" s="109">
        <v>299.26111111111106</v>
      </c>
      <c r="N12" s="48">
        <v>79</v>
      </c>
      <c r="O12" s="47">
        <v>26.111111111111111</v>
      </c>
      <c r="P12" s="109">
        <v>299.26111111111106</v>
      </c>
      <c r="Q12" s="105"/>
      <c r="R12" s="106"/>
      <c r="S12" s="106"/>
      <c r="T12" s="106"/>
      <c r="U12" s="106"/>
      <c r="V12" s="106"/>
      <c r="W12" s="106"/>
    </row>
    <row r="13" spans="1:23" ht="17.25" customHeight="1" x14ac:dyDescent="0.2">
      <c r="A13" s="33" t="s">
        <v>97</v>
      </c>
      <c r="B13" s="79">
        <f>ROUND(B10,3)</f>
        <v>279.63099999999997</v>
      </c>
      <c r="C13" s="40" t="s">
        <v>35</v>
      </c>
      <c r="D13" s="59" t="str" cm="1">
        <f t="array" ref="D13">_xlfn.IFS(C13=CommonErrors!A$4,"Good",C13=CommonErrors!A$9,"Good")</f>
        <v>Good</v>
      </c>
      <c r="E13" s="32" t="str">
        <f>IF(B13=AutoPointPenalty!G2,"Correct solution","")</f>
        <v>Correct solution</v>
      </c>
      <c r="J13" s="95" t="s">
        <v>53</v>
      </c>
      <c r="K13" s="48">
        <v>71</v>
      </c>
      <c r="L13" s="47">
        <v>21.666666666666668</v>
      </c>
      <c r="M13" s="109">
        <v>294.81666666666666</v>
      </c>
      <c r="N13" s="48">
        <v>71</v>
      </c>
      <c r="O13" s="47">
        <v>21.666666666666668</v>
      </c>
      <c r="P13" s="109">
        <v>294.81666666666666</v>
      </c>
      <c r="Q13" s="105"/>
      <c r="R13" s="106"/>
      <c r="S13" s="106"/>
      <c r="T13" s="106"/>
      <c r="U13" s="106"/>
      <c r="V13" s="106"/>
      <c r="W13" s="106"/>
    </row>
    <row r="14" spans="1:23" ht="17.25" customHeight="1" x14ac:dyDescent="0.2">
      <c r="A14" s="33" t="s">
        <v>91</v>
      </c>
      <c r="B14" s="69">
        <f>TRUNC(AVERAGE(M5:M16),0)</f>
        <v>294</v>
      </c>
      <c r="C14" s="40" t="s">
        <v>35</v>
      </c>
      <c r="D14" s="59" t="str" cm="1">
        <f t="array" ref="D14">_xlfn.IFS(C14=CommonErrors!A$4,"Good",C14=CommonErrors!A$5,"Good")</f>
        <v>Good</v>
      </c>
      <c r="E14" s="32" t="str">
        <f>IF(B14=AutoPointPenalty!H6,"Correct solution","")</f>
        <v>Correct solution</v>
      </c>
      <c r="J14" s="95" t="s">
        <v>54</v>
      </c>
      <c r="K14" s="48">
        <v>54</v>
      </c>
      <c r="L14" s="47">
        <v>12.222222222222223</v>
      </c>
      <c r="M14" s="109">
        <v>285.37222222222221</v>
      </c>
      <c r="N14" s="48">
        <v>54</v>
      </c>
      <c r="O14" s="47">
        <v>12.222222222222223</v>
      </c>
      <c r="P14" s="109">
        <v>285.37222222222221</v>
      </c>
      <c r="Q14" s="105"/>
      <c r="R14" s="106"/>
      <c r="S14" s="106"/>
      <c r="T14" s="106"/>
      <c r="U14" s="106"/>
      <c r="V14" s="106"/>
      <c r="W14" s="106"/>
    </row>
    <row r="15" spans="1:23" ht="17.25" customHeight="1" x14ac:dyDescent="0.2">
      <c r="A15" s="29" t="s">
        <v>90</v>
      </c>
      <c r="B15" s="67">
        <f>COUNTA(J5:J16)</f>
        <v>12</v>
      </c>
      <c r="C15" s="36" t="s">
        <v>26</v>
      </c>
      <c r="D15" s="59" t="str">
        <f>IF(C15=CommonErrors!A$3,"Good","")</f>
        <v>Good</v>
      </c>
      <c r="E15" s="32" t="str">
        <f>IF(B15=AutoPointPenalty!B7,"Correct solution","")</f>
        <v>Correct solution</v>
      </c>
      <c r="J15" s="95" t="s">
        <v>55</v>
      </c>
      <c r="K15" s="48">
        <v>62</v>
      </c>
      <c r="L15" s="47">
        <v>16.666666666666668</v>
      </c>
      <c r="M15" s="109">
        <v>289.81666666666666</v>
      </c>
      <c r="N15" s="48">
        <v>62</v>
      </c>
      <c r="O15" s="47">
        <v>16.666666666666668</v>
      </c>
      <c r="P15" s="109">
        <v>289.81666666666666</v>
      </c>
      <c r="Q15" s="105"/>
      <c r="R15" s="106"/>
      <c r="S15" s="106"/>
      <c r="T15" s="106"/>
      <c r="U15" s="106"/>
      <c r="V15" s="106"/>
      <c r="W15" s="106"/>
    </row>
    <row r="16" spans="1:23" ht="17.25" customHeight="1" x14ac:dyDescent="0.2">
      <c r="A16" s="40" t="s">
        <v>92</v>
      </c>
      <c r="B16" s="61">
        <f>COUNT(K5:P16)</f>
        <v>72</v>
      </c>
      <c r="C16" s="40" t="s">
        <v>26</v>
      </c>
      <c r="D16" s="59" t="str">
        <f>IF(C16=CommonErrors!A$3,"Good","")</f>
        <v>Good</v>
      </c>
      <c r="E16" s="32" t="str">
        <f>IF(B16=AutoPointPenalty!B8,"Correct solution","")</f>
        <v>Correct solution</v>
      </c>
      <c r="J16" s="95" t="s">
        <v>56</v>
      </c>
      <c r="K16" s="48">
        <v>51</v>
      </c>
      <c r="L16" s="47">
        <v>10.555555555555555</v>
      </c>
      <c r="M16" s="109">
        <v>283.70555555555552</v>
      </c>
      <c r="N16" s="48">
        <v>51</v>
      </c>
      <c r="O16" s="47">
        <v>10.555555555555555</v>
      </c>
      <c r="P16" s="109">
        <v>283.70555555555552</v>
      </c>
      <c r="Q16" s="105"/>
      <c r="R16" s="106"/>
      <c r="S16" s="106"/>
      <c r="T16" s="106"/>
      <c r="U16" s="106"/>
      <c r="V16" s="106"/>
      <c r="W16" s="106"/>
    </row>
    <row r="17" spans="1:23" ht="17.25" customHeight="1" x14ac:dyDescent="0.2">
      <c r="A17" s="63" t="s">
        <v>71</v>
      </c>
      <c r="B17" s="77"/>
      <c r="C17" s="1"/>
      <c r="E17" s="1"/>
      <c r="F17" s="1"/>
      <c r="G17" s="1" t="s">
        <v>100</v>
      </c>
      <c r="H17" s="1" t="s">
        <v>119</v>
      </c>
      <c r="I17" s="1" t="s">
        <v>89</v>
      </c>
      <c r="J17" s="44" t="s">
        <v>59</v>
      </c>
      <c r="Q17" s="107" t="s">
        <v>81</v>
      </c>
      <c r="R17" s="108"/>
      <c r="S17" s="106"/>
      <c r="T17" s="106"/>
      <c r="U17" s="106"/>
      <c r="V17" s="106"/>
      <c r="W17" s="106"/>
    </row>
    <row r="18" spans="1:23" ht="17.25" customHeight="1" x14ac:dyDescent="0.2">
      <c r="A18" s="29" t="s">
        <v>95</v>
      </c>
      <c r="B18" s="35">
        <f>VLOOKUP("Sep",J5:P16,3,FALSE)</f>
        <v>21.666666666666668</v>
      </c>
      <c r="C18" s="36" t="s">
        <v>35</v>
      </c>
      <c r="D18" s="68" t="s">
        <v>89</v>
      </c>
      <c r="E18" s="38"/>
      <c r="Q18" s="107" t="s">
        <v>83</v>
      </c>
      <c r="R18" s="105"/>
      <c r="S18" s="106"/>
      <c r="T18" s="106"/>
      <c r="U18" s="106"/>
      <c r="V18" s="106"/>
      <c r="W18" s="106"/>
    </row>
    <row r="19" spans="1:23" ht="15.75" customHeight="1" x14ac:dyDescent="0.2">
      <c r="A19" s="33" t="s">
        <v>111</v>
      </c>
      <c r="B19" s="61">
        <f>VLOOKUP("May",J5:P16,6,FALSE)</f>
        <v>20.555555555555557</v>
      </c>
      <c r="C19" s="40" t="s">
        <v>35</v>
      </c>
      <c r="D19" s="68" t="s">
        <v>89</v>
      </c>
      <c r="E19" s="38"/>
      <c r="J19" s="81" t="s">
        <v>46</v>
      </c>
      <c r="K19" s="86"/>
      <c r="L19" s="86"/>
      <c r="M19" s="87" t="s">
        <v>106</v>
      </c>
      <c r="N19" s="86"/>
      <c r="O19" s="86"/>
      <c r="P19" s="82">
        <v>0.222</v>
      </c>
      <c r="Q19" s="107" t="s">
        <v>77</v>
      </c>
      <c r="R19" s="105"/>
      <c r="S19" s="106"/>
      <c r="T19" s="106"/>
      <c r="U19" s="106"/>
      <c r="V19" s="106"/>
      <c r="W19" s="106"/>
    </row>
    <row r="20" spans="1:23" ht="17.25" customHeight="1" x14ac:dyDescent="0.2">
      <c r="A20" s="33" t="s">
        <v>112</v>
      </c>
      <c r="B20" s="61">
        <f>VLOOKUP("Jul",J5:P16,7,FALSE)</f>
        <v>292.59444444444443</v>
      </c>
      <c r="C20" s="40" t="s">
        <v>35</v>
      </c>
      <c r="D20" s="68" t="s">
        <v>89</v>
      </c>
      <c r="E20" s="38"/>
      <c r="J20" s="113" t="s">
        <v>110</v>
      </c>
      <c r="K20" s="118" t="s">
        <v>101</v>
      </c>
      <c r="L20" s="118" t="s">
        <v>102</v>
      </c>
      <c r="M20" s="118" t="s">
        <v>103</v>
      </c>
      <c r="N20" s="118" t="s">
        <v>103</v>
      </c>
      <c r="O20" s="118" t="s">
        <v>107</v>
      </c>
      <c r="P20" s="118" t="s">
        <v>108</v>
      </c>
      <c r="Q20" s="107" t="s">
        <v>75</v>
      </c>
      <c r="R20" s="105"/>
      <c r="S20" s="106"/>
      <c r="T20" s="106"/>
      <c r="U20" s="106"/>
      <c r="V20" s="106"/>
      <c r="W20" s="106"/>
    </row>
    <row r="21" spans="1:23" ht="17.25" customHeight="1" x14ac:dyDescent="0.2">
      <c r="A21" s="33" t="s">
        <v>113</v>
      </c>
      <c r="B21" s="61">
        <f>VLOOKUP("Feb",J5:P16,7,FALSE)</f>
        <v>275.92777777777775</v>
      </c>
      <c r="C21" s="40" t="s">
        <v>35</v>
      </c>
      <c r="D21" s="68" t="s">
        <v>89</v>
      </c>
      <c r="E21" s="38"/>
      <c r="J21" s="114"/>
      <c r="K21" s="119"/>
      <c r="L21" s="119"/>
      <c r="M21" s="119"/>
      <c r="N21" s="119"/>
      <c r="O21" s="119"/>
      <c r="P21" s="119"/>
      <c r="Q21" s="107" t="s">
        <v>82</v>
      </c>
      <c r="R21" s="105"/>
      <c r="S21" s="106"/>
      <c r="T21" s="106"/>
      <c r="U21" s="106"/>
      <c r="V21" s="106"/>
      <c r="W21" s="106"/>
    </row>
    <row r="22" spans="1:23" ht="17.25" customHeight="1" x14ac:dyDescent="0.2">
      <c r="A22" s="33" t="s">
        <v>114</v>
      </c>
      <c r="B22" s="61">
        <f>VLOOKUP("Jan",J5:P16,7,FALSE)</f>
        <v>279.26111111111106</v>
      </c>
      <c r="C22" s="40" t="s">
        <v>35</v>
      </c>
      <c r="D22" s="68" t="s">
        <v>89</v>
      </c>
      <c r="E22" s="38"/>
      <c r="J22" s="88" t="s">
        <v>42</v>
      </c>
      <c r="K22" s="88" t="s">
        <v>115</v>
      </c>
      <c r="L22" s="88" t="s">
        <v>115</v>
      </c>
      <c r="M22" s="89" t="s">
        <v>104</v>
      </c>
      <c r="N22" s="88" t="s">
        <v>105</v>
      </c>
      <c r="O22" s="88" t="s">
        <v>104</v>
      </c>
      <c r="P22" s="88" t="s">
        <v>105</v>
      </c>
      <c r="Q22" s="107" t="s">
        <v>76</v>
      </c>
      <c r="R22" s="105"/>
      <c r="S22" s="106"/>
      <c r="T22" s="106"/>
      <c r="U22" s="106"/>
      <c r="V22" s="106"/>
      <c r="W22" s="106"/>
    </row>
    <row r="23" spans="1:23" ht="17.25" customHeight="1" x14ac:dyDescent="0.2">
      <c r="A23" s="33" t="s">
        <v>85</v>
      </c>
      <c r="B23" s="61">
        <f>MEDIAN(L5:L16)</f>
        <v>21.944444444444443</v>
      </c>
      <c r="C23" s="40" t="s">
        <v>26</v>
      </c>
      <c r="D23" s="68" t="s">
        <v>89</v>
      </c>
      <c r="E23" s="38"/>
      <c r="J23" s="90" t="s">
        <v>45</v>
      </c>
      <c r="K23" s="91">
        <v>77</v>
      </c>
      <c r="L23" s="92">
        <v>6</v>
      </c>
      <c r="M23" s="93">
        <v>4.88</v>
      </c>
      <c r="N23" s="94">
        <v>18</v>
      </c>
      <c r="O23" s="94">
        <v>0.49</v>
      </c>
      <c r="P23" s="94">
        <v>2</v>
      </c>
      <c r="Q23" s="107"/>
      <c r="R23" s="105"/>
      <c r="S23" s="106"/>
      <c r="T23" s="106"/>
      <c r="U23" s="106"/>
      <c r="V23" s="106"/>
      <c r="W23" s="106"/>
    </row>
    <row r="24" spans="1:23" x14ac:dyDescent="0.2">
      <c r="J24" s="88" t="s">
        <v>46</v>
      </c>
      <c r="K24" s="94">
        <v>80</v>
      </c>
      <c r="L24" s="92">
        <v>6</v>
      </c>
      <c r="M24" s="93">
        <v>4.68</v>
      </c>
      <c r="N24" s="94">
        <v>18</v>
      </c>
      <c r="O24" s="94">
        <v>0.34</v>
      </c>
      <c r="P24" s="94">
        <v>2</v>
      </c>
      <c r="Q24" s="105"/>
      <c r="R24" s="106"/>
      <c r="S24" s="106"/>
      <c r="T24" s="106"/>
      <c r="U24" s="106"/>
      <c r="V24" s="106"/>
      <c r="W24" s="106"/>
    </row>
    <row r="25" spans="1:23" x14ac:dyDescent="0.2">
      <c r="J25" s="88" t="s">
        <v>47</v>
      </c>
      <c r="K25" s="94">
        <v>88</v>
      </c>
      <c r="L25" s="92">
        <v>15</v>
      </c>
      <c r="M25" s="93">
        <v>4.88</v>
      </c>
      <c r="N25" s="94">
        <v>19</v>
      </c>
      <c r="O25" s="94">
        <v>0</v>
      </c>
      <c r="P25" s="94">
        <v>0</v>
      </c>
      <c r="Q25" s="105"/>
      <c r="R25" s="106"/>
      <c r="S25" s="106"/>
      <c r="T25" s="106"/>
      <c r="U25" s="106"/>
      <c r="V25" s="106"/>
      <c r="W25" s="106"/>
    </row>
    <row r="26" spans="1:23" x14ac:dyDescent="0.2">
      <c r="J26" s="88" t="s">
        <v>48</v>
      </c>
      <c r="K26" s="94">
        <v>88</v>
      </c>
      <c r="L26" s="92">
        <v>29</v>
      </c>
      <c r="M26" s="93">
        <v>4.37</v>
      </c>
      <c r="N26" s="94">
        <v>18</v>
      </c>
      <c r="O26" s="94">
        <v>0</v>
      </c>
      <c r="P26" s="94">
        <v>0</v>
      </c>
      <c r="Q26" s="105"/>
      <c r="R26" s="106"/>
      <c r="S26" s="106"/>
      <c r="T26" s="106"/>
      <c r="U26" s="106"/>
      <c r="V26" s="106"/>
      <c r="W26" s="106"/>
    </row>
    <row r="27" spans="1:23" x14ac:dyDescent="0.2">
      <c r="J27" s="88" t="s">
        <v>49</v>
      </c>
      <c r="K27" s="94">
        <v>94</v>
      </c>
      <c r="L27" s="92">
        <v>39</v>
      </c>
      <c r="M27" s="93">
        <v>3.91</v>
      </c>
      <c r="N27" s="94">
        <v>21</v>
      </c>
      <c r="O27" s="94">
        <v>0</v>
      </c>
      <c r="P27" s="94">
        <v>0</v>
      </c>
      <c r="Q27" s="105"/>
      <c r="R27" s="106"/>
      <c r="S27" s="106"/>
      <c r="T27" s="106"/>
      <c r="U27" s="106"/>
      <c r="V27" s="106"/>
      <c r="W27" s="106"/>
    </row>
    <row r="28" spans="1:23" x14ac:dyDescent="0.2">
      <c r="J28" s="88" t="s">
        <v>50</v>
      </c>
      <c r="K28" s="94">
        <v>102</v>
      </c>
      <c r="L28" s="92">
        <v>50</v>
      </c>
      <c r="M28" s="93">
        <v>4.72</v>
      </c>
      <c r="N28" s="94">
        <v>25</v>
      </c>
      <c r="O28" s="94">
        <v>0</v>
      </c>
      <c r="P28" s="94">
        <v>0</v>
      </c>
      <c r="Q28" s="105"/>
      <c r="R28" s="106"/>
      <c r="S28" s="106"/>
      <c r="T28" s="106"/>
      <c r="U28" s="106"/>
      <c r="V28" s="106"/>
      <c r="W28" s="106"/>
    </row>
    <row r="29" spans="1:23" x14ac:dyDescent="0.2">
      <c r="J29" s="88" t="s">
        <v>51</v>
      </c>
      <c r="K29" s="94">
        <v>102</v>
      </c>
      <c r="L29" s="92">
        <v>57</v>
      </c>
      <c r="M29" s="93">
        <v>5.37</v>
      </c>
      <c r="N29" s="94">
        <v>29</v>
      </c>
      <c r="O29" s="94">
        <v>0</v>
      </c>
      <c r="P29" s="94">
        <v>0</v>
      </c>
      <c r="Q29" s="105"/>
      <c r="R29" s="106"/>
      <c r="S29" s="106"/>
      <c r="T29" s="106"/>
      <c r="U29" s="106"/>
      <c r="V29" s="106"/>
      <c r="W29" s="106"/>
    </row>
    <row r="30" spans="1:23" x14ac:dyDescent="0.2">
      <c r="J30" s="88" t="s">
        <v>52</v>
      </c>
      <c r="K30" s="94">
        <v>100</v>
      </c>
      <c r="L30" s="92">
        <v>56</v>
      </c>
      <c r="M30" s="93">
        <v>5</v>
      </c>
      <c r="N30" s="94">
        <v>26</v>
      </c>
      <c r="O30" s="94">
        <v>0</v>
      </c>
      <c r="P30" s="94">
        <v>0</v>
      </c>
      <c r="Q30" s="105"/>
      <c r="R30" s="106"/>
      <c r="S30" s="106"/>
      <c r="T30" s="106"/>
      <c r="U30" s="106"/>
      <c r="V30" s="106"/>
      <c r="W30" s="106"/>
    </row>
    <row r="31" spans="1:23" x14ac:dyDescent="0.2">
      <c r="J31" s="88" t="s">
        <v>53</v>
      </c>
      <c r="K31" s="94">
        <v>98</v>
      </c>
      <c r="L31" s="92">
        <v>43</v>
      </c>
      <c r="M31" s="93">
        <v>4.13</v>
      </c>
      <c r="N31" s="94">
        <v>18</v>
      </c>
      <c r="O31" s="94">
        <v>0</v>
      </c>
      <c r="P31" s="94">
        <v>0</v>
      </c>
      <c r="Q31" s="105"/>
      <c r="R31" s="106"/>
      <c r="S31" s="106"/>
      <c r="T31" s="106"/>
      <c r="U31" s="106"/>
      <c r="V31" s="106"/>
      <c r="W31" s="106"/>
    </row>
    <row r="32" spans="1:23" x14ac:dyDescent="0.2">
      <c r="J32" s="88" t="s">
        <v>54</v>
      </c>
      <c r="K32" s="94">
        <v>97</v>
      </c>
      <c r="L32" s="92">
        <v>28</v>
      </c>
      <c r="M32" s="93">
        <v>3.54</v>
      </c>
      <c r="N32" s="94">
        <v>15</v>
      </c>
      <c r="O32" s="94">
        <v>0</v>
      </c>
      <c r="P32" s="94">
        <v>0</v>
      </c>
      <c r="Q32" s="105"/>
      <c r="R32" s="106"/>
      <c r="S32" s="106"/>
      <c r="T32" s="106"/>
      <c r="U32" s="106"/>
      <c r="V32" s="106"/>
      <c r="W32" s="106"/>
    </row>
    <row r="33" spans="10:23" x14ac:dyDescent="0.2">
      <c r="J33" s="88" t="s">
        <v>55</v>
      </c>
      <c r="K33" s="94">
        <v>83</v>
      </c>
      <c r="L33" s="92">
        <v>18</v>
      </c>
      <c r="M33" s="93">
        <v>3.78</v>
      </c>
      <c r="N33" s="94">
        <v>15</v>
      </c>
      <c r="O33" s="94">
        <v>0</v>
      </c>
      <c r="P33" s="94">
        <v>0</v>
      </c>
      <c r="Q33" s="105"/>
      <c r="R33" s="106"/>
      <c r="S33" s="106"/>
      <c r="T33" s="106"/>
      <c r="U33" s="106"/>
      <c r="V33" s="106"/>
      <c r="W33" s="106"/>
    </row>
    <row r="34" spans="10:23" x14ac:dyDescent="0.2">
      <c r="J34" s="88" t="s">
        <v>56</v>
      </c>
      <c r="K34" s="94">
        <v>77</v>
      </c>
      <c r="L34" s="92">
        <v>8</v>
      </c>
      <c r="M34" s="93">
        <v>4.88</v>
      </c>
      <c r="N34" s="94">
        <v>19</v>
      </c>
      <c r="O34" s="94">
        <v>0.12</v>
      </c>
      <c r="P34" s="94">
        <v>1</v>
      </c>
      <c r="Q34" s="105"/>
      <c r="R34" s="106"/>
      <c r="S34" s="106"/>
      <c r="T34" s="106"/>
      <c r="U34" s="106"/>
      <c r="V34" s="106"/>
      <c r="W34" s="106"/>
    </row>
    <row r="35" spans="10:23" ht="17" x14ac:dyDescent="0.2">
      <c r="J35" s="85" t="s">
        <v>109</v>
      </c>
      <c r="Q35" s="105"/>
      <c r="R35" s="106"/>
      <c r="S35" s="106"/>
      <c r="T35" s="106"/>
      <c r="U35" s="106"/>
      <c r="V35" s="106"/>
      <c r="W35" s="106"/>
    </row>
  </sheetData>
  <sheetProtection formatCells="0" formatColumns="0" formatRows="0" selectLockedCells="1"/>
  <mergeCells count="9">
    <mergeCell ref="J20:J21"/>
    <mergeCell ref="K3:M3"/>
    <mergeCell ref="N3:P3"/>
    <mergeCell ref="K20:K21"/>
    <mergeCell ref="L20:L21"/>
    <mergeCell ref="M20:M21"/>
    <mergeCell ref="N20:N21"/>
    <mergeCell ref="O20:O21"/>
    <mergeCell ref="P20:P21"/>
  </mergeCells>
  <phoneticPr fontId="32" type="noConversion"/>
  <conditionalFormatting sqref="D4:D16">
    <cfRule type="cellIs" dxfId="1" priority="3" operator="equal">
      <formula>"Good"</formula>
    </cfRule>
  </conditionalFormatting>
  <conditionalFormatting sqref="E5:E16">
    <cfRule type="cellIs" dxfId="0" priority="1" operator="equal">
      <formula>"Correct Solution"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E490337-8D81-49DF-9735-3B583CD8F637}">
          <x14:formula1>
            <xm:f>CommonErrors!$A$2:$A$13</xm:f>
          </x14:formula1>
          <xm:sqref>C4:C16</xm:sqref>
        </x14:dataValidation>
        <x14:dataValidation type="list" allowBlank="1" showInputMessage="1" showErrorMessage="1" xr:uid="{00000000-0002-0000-0100-000000000000}">
          <x14:formula1>
            <xm:f>CommonErrors!$A$2:$A$12</xm:f>
          </x14:formula1>
          <xm:sqref>C18:C23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9E9BC-92EA-40CF-802C-077F6AD20556}">
  <sheetPr codeName="Sheet7"/>
  <dimension ref="A1:H15"/>
  <sheetViews>
    <sheetView workbookViewId="0">
      <selection sqref="A1:I18"/>
    </sheetView>
  </sheetViews>
  <sheetFormatPr baseColWidth="10" defaultColWidth="8.83203125" defaultRowHeight="15" x14ac:dyDescent="0.2"/>
  <cols>
    <col min="4" max="4" width="13.33203125" customWidth="1"/>
    <col min="7" max="7" width="14.5" customWidth="1"/>
    <col min="8" max="8" width="12.5" customWidth="1"/>
  </cols>
  <sheetData>
    <row r="1" spans="1:8" x14ac:dyDescent="0.2">
      <c r="A1" s="31"/>
      <c r="B1" s="100">
        <f>AVERAGE('W1'!K16,'W1'!K5:K6)</f>
        <v>54.666666666666664</v>
      </c>
      <c r="C1" s="100">
        <f>AVERAGE('W1'!L16,'W1'!L5:L6)</f>
        <v>12.59259259259259</v>
      </c>
      <c r="D1" s="100">
        <f>AVERAGE('W1'!M16,'W1'!M5:M6)</f>
        <v>285.74259259259253</v>
      </c>
      <c r="E1" s="101">
        <f>AVERAGE('W1'!N16,'W1'!N5:N6)</f>
        <v>43.666666666666664</v>
      </c>
      <c r="F1" s="100">
        <f>AVERAGE('W1'!O16,'W1'!O5:O6)</f>
        <v>6.4814814814814818</v>
      </c>
      <c r="G1" s="101">
        <f>AVERAGE('W1'!P16,'W1'!P5:P6)</f>
        <v>279.63148148148144</v>
      </c>
      <c r="H1" s="32"/>
    </row>
    <row r="2" spans="1:8" x14ac:dyDescent="0.2">
      <c r="A2" s="31"/>
      <c r="B2" s="100">
        <f t="shared" ref="B2:F2" si="0">ROUND(B1,1)</f>
        <v>54.7</v>
      </c>
      <c r="C2" s="100">
        <f t="shared" si="0"/>
        <v>12.6</v>
      </c>
      <c r="D2" s="100">
        <f t="shared" si="0"/>
        <v>285.7</v>
      </c>
      <c r="E2" s="101">
        <f>ROUND(E1,3)</f>
        <v>43.667000000000002</v>
      </c>
      <c r="F2" s="100">
        <f t="shared" si="0"/>
        <v>6.5</v>
      </c>
      <c r="G2" s="101">
        <f>ROUND(G1,3)</f>
        <v>279.63099999999997</v>
      </c>
      <c r="H2" s="100"/>
    </row>
    <row r="3" spans="1:8" x14ac:dyDescent="0.2">
      <c r="A3" s="31"/>
      <c r="B3" s="102">
        <f>AVERAGE('W1'!K5:K16)</f>
        <v>70.25</v>
      </c>
      <c r="C3" s="102">
        <f>AVERAGE('W1'!L5:L16)</f>
        <v>21.249999999999996</v>
      </c>
      <c r="D3" s="102">
        <f>AVERAGE('W1'!M5:M16)</f>
        <v>294.39999999999992</v>
      </c>
      <c r="E3" s="102">
        <f>AVERAGE('W1'!N5:N16)</f>
        <v>60.083333333333336</v>
      </c>
      <c r="F3" s="102">
        <f>AVERAGE('W1'!O5:O16)</f>
        <v>15.601851851851849</v>
      </c>
      <c r="G3" s="102">
        <f>AVERAGE('W1'!P5:P16)</f>
        <v>288.75185185185182</v>
      </c>
      <c r="H3" s="100">
        <f>AVERAGE('W1'!M5:M16)</f>
        <v>294.39999999999992</v>
      </c>
    </row>
    <row r="4" spans="1:8" x14ac:dyDescent="0.2">
      <c r="A4" s="31"/>
      <c r="B4" s="102">
        <f t="shared" ref="B4:H4" si="1">ROUND(B$3,1)</f>
        <v>70.3</v>
      </c>
      <c r="C4" s="102">
        <f t="shared" si="1"/>
        <v>21.3</v>
      </c>
      <c r="D4" s="102">
        <f t="shared" si="1"/>
        <v>294.39999999999998</v>
      </c>
      <c r="E4" s="102">
        <f t="shared" si="1"/>
        <v>60.1</v>
      </c>
      <c r="F4" s="102">
        <f t="shared" si="1"/>
        <v>15.6</v>
      </c>
      <c r="G4" s="102">
        <f t="shared" si="1"/>
        <v>288.8</v>
      </c>
      <c r="H4" s="102">
        <f t="shared" si="1"/>
        <v>294.39999999999998</v>
      </c>
    </row>
    <row r="5" spans="1:8" x14ac:dyDescent="0.2">
      <c r="A5" s="31"/>
      <c r="B5" s="102">
        <f t="shared" ref="B5:H5" si="2">ROUND(B$3,2)</f>
        <v>70.25</v>
      </c>
      <c r="C5" s="102">
        <f t="shared" si="2"/>
        <v>21.25</v>
      </c>
      <c r="D5" s="102">
        <f t="shared" si="2"/>
        <v>294.39999999999998</v>
      </c>
      <c r="E5" s="102">
        <f t="shared" si="2"/>
        <v>60.08</v>
      </c>
      <c r="F5" s="102">
        <f>ROUND(F$3,3)</f>
        <v>15.602</v>
      </c>
      <c r="G5" s="102">
        <f t="shared" si="2"/>
        <v>288.75</v>
      </c>
      <c r="H5" s="102">
        <f t="shared" si="2"/>
        <v>294.39999999999998</v>
      </c>
    </row>
    <row r="6" spans="1:8" x14ac:dyDescent="0.2">
      <c r="A6" s="31"/>
      <c r="B6" s="102">
        <f t="shared" ref="B6:G6" si="3">TRUNC(B3,0)</f>
        <v>70</v>
      </c>
      <c r="C6" s="102">
        <f t="shared" si="3"/>
        <v>21</v>
      </c>
      <c r="D6" s="102">
        <f t="shared" si="3"/>
        <v>294</v>
      </c>
      <c r="E6" s="102">
        <f t="shared" si="3"/>
        <v>60</v>
      </c>
      <c r="F6" s="102">
        <f t="shared" si="3"/>
        <v>15</v>
      </c>
      <c r="G6" s="102">
        <f t="shared" si="3"/>
        <v>288</v>
      </c>
      <c r="H6" s="102">
        <f t="shared" ref="H6" si="4">TRUNC(H3,0)</f>
        <v>294</v>
      </c>
    </row>
    <row r="7" spans="1:8" x14ac:dyDescent="0.2">
      <c r="A7" s="31"/>
      <c r="B7" s="32">
        <f>COUNTA('W1'!J5:J16)</f>
        <v>12</v>
      </c>
      <c r="C7" s="32">
        <f>( 'W1'!P5+'W1'!P6+'W1'!P16)  / 3</f>
        <v>279.63148148148144</v>
      </c>
      <c r="D7" s="32"/>
      <c r="E7" s="32"/>
      <c r="F7" s="32"/>
      <c r="G7" s="32"/>
      <c r="H7" s="32"/>
    </row>
    <row r="8" spans="1:8" x14ac:dyDescent="0.2">
      <c r="A8" s="31"/>
      <c r="B8" s="32">
        <f>COUNTA('W1'!K5:P16)</f>
        <v>72</v>
      </c>
      <c r="C8" s="32"/>
      <c r="D8" s="32"/>
      <c r="E8" s="32"/>
      <c r="F8" s="32"/>
      <c r="G8" s="32"/>
      <c r="H8" s="32"/>
    </row>
    <row r="9" spans="1:8" x14ac:dyDescent="0.2">
      <c r="A9" s="31"/>
      <c r="B9" s="32">
        <f>AVERAGE('W1'!O5:O16)</f>
        <v>15.601851851851849</v>
      </c>
      <c r="C9" s="32"/>
      <c r="D9" s="32"/>
      <c r="E9" s="32"/>
      <c r="F9" s="32"/>
      <c r="G9" s="32"/>
      <c r="H9" s="32"/>
    </row>
    <row r="10" spans="1:8" x14ac:dyDescent="0.2">
      <c r="A10" s="31"/>
      <c r="B10" s="31"/>
      <c r="C10" s="31"/>
      <c r="D10" s="31"/>
      <c r="E10" s="31"/>
      <c r="F10" s="31"/>
      <c r="G10" s="31"/>
      <c r="H10" s="2"/>
    </row>
    <row r="11" spans="1:8" x14ac:dyDescent="0.2">
      <c r="A11" s="31"/>
      <c r="B11" s="31"/>
      <c r="C11" s="31"/>
      <c r="D11" s="31"/>
      <c r="E11" s="31"/>
      <c r="F11" s="31"/>
      <c r="G11" s="31"/>
      <c r="H11" s="2"/>
    </row>
    <row r="12" spans="1:8" x14ac:dyDescent="0.2">
      <c r="A12" s="31"/>
      <c r="B12" s="31"/>
      <c r="C12" s="31"/>
      <c r="D12" s="31"/>
      <c r="E12" s="31"/>
      <c r="F12" s="31"/>
      <c r="G12" s="31"/>
      <c r="H12" s="2"/>
    </row>
    <row r="13" spans="1:8" x14ac:dyDescent="0.2">
      <c r="A13" s="2"/>
      <c r="B13" s="2"/>
      <c r="C13" s="2"/>
      <c r="D13" s="2"/>
      <c r="E13" s="2"/>
      <c r="F13" s="2"/>
      <c r="G13" s="2"/>
      <c r="H13" s="2"/>
    </row>
    <row r="14" spans="1:8" x14ac:dyDescent="0.2">
      <c r="A14" s="2"/>
      <c r="B14" s="2"/>
      <c r="C14" s="2"/>
      <c r="D14" s="2"/>
      <c r="E14" s="2"/>
      <c r="F14" s="2"/>
      <c r="G14" s="2"/>
      <c r="H14" s="2"/>
    </row>
    <row r="15" spans="1:8" x14ac:dyDescent="0.2">
      <c r="A15" s="2"/>
      <c r="B15" s="2"/>
      <c r="C15" s="2"/>
      <c r="D15" s="2"/>
      <c r="E15" s="2"/>
      <c r="F15" s="2"/>
      <c r="G15" s="2"/>
      <c r="H15" s="2"/>
    </row>
  </sheetData>
  <sheetProtection algorithmName="SHA-512" hashValue="phbzzJn1cN7UqbJvPcbKhKBnffIbqROP+IQ95FnXE5tB7eLBY5KEoFPtZW9GCW9ZcwJYUQsITEOXjTnUaAwILw==" saltValue="+5GVtWzeGE6bfMzd9WIcCA==" spinCount="100000" sheet="1" objects="1" scenarios="1" selectLockedCells="1" selectUnlockedCells="1"/>
  <pageMargins left="0.7" right="0.7" top="0.75" bottom="0.75" header="0.3" footer="0.3"/>
  <ignoredErrors>
    <ignoredError sqref="F5 E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6"/>
  <sheetViews>
    <sheetView workbookViewId="0">
      <selection activeCell="B10" sqref="B10"/>
    </sheetView>
  </sheetViews>
  <sheetFormatPr baseColWidth="10" defaultColWidth="8.83203125" defaultRowHeight="15" x14ac:dyDescent="0.2"/>
  <cols>
    <col min="1" max="1" width="38.1640625" style="44" customWidth="1"/>
    <col min="2" max="2" width="62.1640625" style="44" customWidth="1"/>
  </cols>
  <sheetData>
    <row r="1" spans="1:2" x14ac:dyDescent="0.2">
      <c r="A1" s="43" t="s">
        <v>24</v>
      </c>
      <c r="B1" s="43" t="s">
        <v>25</v>
      </c>
    </row>
    <row r="2" spans="1:2" x14ac:dyDescent="0.2">
      <c r="A2" s="31" t="s">
        <v>33</v>
      </c>
      <c r="B2" s="44" t="s">
        <v>34</v>
      </c>
    </row>
    <row r="3" spans="1:2" x14ac:dyDescent="0.2">
      <c r="A3" s="31" t="s">
        <v>26</v>
      </c>
      <c r="B3" s="44" t="s">
        <v>99</v>
      </c>
    </row>
    <row r="4" spans="1:2" x14ac:dyDescent="0.2">
      <c r="A4" s="31" t="s">
        <v>35</v>
      </c>
      <c r="B4" s="44" t="s">
        <v>36</v>
      </c>
    </row>
    <row r="5" spans="1:2" x14ac:dyDescent="0.2">
      <c r="A5" s="31" t="s">
        <v>37</v>
      </c>
      <c r="B5" s="44" t="s">
        <v>70</v>
      </c>
    </row>
    <row r="6" spans="1:2" x14ac:dyDescent="0.2">
      <c r="A6" s="31" t="s">
        <v>68</v>
      </c>
      <c r="B6" s="44" t="s">
        <v>69</v>
      </c>
    </row>
    <row r="7" spans="1:2" x14ac:dyDescent="0.2">
      <c r="A7" s="31" t="s">
        <v>27</v>
      </c>
      <c r="B7" s="44" t="s">
        <v>38</v>
      </c>
    </row>
    <row r="8" spans="1:2" x14ac:dyDescent="0.2">
      <c r="A8" s="31" t="s">
        <v>39</v>
      </c>
      <c r="B8" s="44" t="s">
        <v>40</v>
      </c>
    </row>
    <row r="9" spans="1:2" x14ac:dyDescent="0.2">
      <c r="A9" s="31" t="s">
        <v>80</v>
      </c>
      <c r="B9" s="44" t="s">
        <v>87</v>
      </c>
    </row>
    <row r="10" spans="1:2" x14ac:dyDescent="0.2">
      <c r="A10" s="31" t="s">
        <v>73</v>
      </c>
      <c r="B10" s="44" t="s">
        <v>74</v>
      </c>
    </row>
    <row r="11" spans="1:2" x14ac:dyDescent="0.2">
      <c r="A11" s="31" t="s">
        <v>28</v>
      </c>
      <c r="B11" s="44" t="s">
        <v>60</v>
      </c>
    </row>
    <row r="12" spans="1:2" x14ac:dyDescent="0.2">
      <c r="A12" s="31" t="s">
        <v>29</v>
      </c>
      <c r="B12" s="44" t="s">
        <v>29</v>
      </c>
    </row>
    <row r="13" spans="1:2" x14ac:dyDescent="0.2">
      <c r="A13" s="45"/>
      <c r="B13" s="45"/>
    </row>
    <row r="14" spans="1:2" x14ac:dyDescent="0.2">
      <c r="A14" s="45"/>
      <c r="B14" s="45"/>
    </row>
    <row r="15" spans="1:2" x14ac:dyDescent="0.2">
      <c r="A15" s="45"/>
      <c r="B15" s="45"/>
    </row>
    <row r="16" spans="1:2" x14ac:dyDescent="0.2">
      <c r="A16" s="45"/>
      <c r="B16" s="45"/>
    </row>
    <row r="17" spans="1:2" x14ac:dyDescent="0.2">
      <c r="A17" s="45"/>
      <c r="B17" s="45"/>
    </row>
    <row r="18" spans="1:2" x14ac:dyDescent="0.2">
      <c r="A18" s="45"/>
      <c r="B18" s="45"/>
    </row>
    <row r="19" spans="1:2" x14ac:dyDescent="0.2">
      <c r="A19" s="45"/>
      <c r="B19" s="45"/>
    </row>
    <row r="20" spans="1:2" x14ac:dyDescent="0.2">
      <c r="A20" s="45" t="s">
        <v>100</v>
      </c>
      <c r="B20" s="45" t="s">
        <v>119</v>
      </c>
    </row>
    <row r="21" spans="1:2" x14ac:dyDescent="0.2">
      <c r="A21" s="45"/>
      <c r="B21" s="45"/>
    </row>
    <row r="22" spans="1:2" x14ac:dyDescent="0.2">
      <c r="A22" s="45"/>
      <c r="B22" s="45"/>
    </row>
    <row r="23" spans="1:2" x14ac:dyDescent="0.2">
      <c r="A23" s="45"/>
      <c r="B23" s="45"/>
    </row>
    <row r="24" spans="1:2" x14ac:dyDescent="0.2">
      <c r="A24" s="45"/>
      <c r="B24" s="45"/>
    </row>
    <row r="25" spans="1:2" x14ac:dyDescent="0.2">
      <c r="A25" s="45"/>
      <c r="B25" s="45"/>
    </row>
    <row r="26" spans="1:2" x14ac:dyDescent="0.2">
      <c r="A26" s="45"/>
      <c r="B26" s="4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33"/>
  <sheetViews>
    <sheetView workbookViewId="0">
      <selection activeCell="D16" sqref="D16"/>
    </sheetView>
  </sheetViews>
  <sheetFormatPr baseColWidth="10" defaultColWidth="8.83203125" defaultRowHeight="15" x14ac:dyDescent="0.2"/>
  <cols>
    <col min="1" max="3" width="14.5" style="1" customWidth="1"/>
    <col min="4" max="4" width="32.1640625" style="1" customWidth="1"/>
  </cols>
  <sheetData>
    <row r="1" spans="1:5" x14ac:dyDescent="0.2">
      <c r="A1" s="4" t="s">
        <v>5</v>
      </c>
      <c r="E1" t="s">
        <v>121</v>
      </c>
    </row>
    <row r="2" spans="1:5" x14ac:dyDescent="0.2">
      <c r="A2" s="2" t="s">
        <v>10</v>
      </c>
      <c r="B2" s="2" t="s">
        <v>0</v>
      </c>
      <c r="C2" s="2" t="s">
        <v>4</v>
      </c>
      <c r="D2" s="2" t="s">
        <v>11</v>
      </c>
      <c r="E2" t="s">
        <v>124</v>
      </c>
    </row>
    <row r="3" spans="1:5" x14ac:dyDescent="0.2">
      <c r="A3" s="2" t="s">
        <v>125</v>
      </c>
      <c r="B3" s="2" t="s">
        <v>119</v>
      </c>
      <c r="C3" s="2" t="s">
        <v>120</v>
      </c>
      <c r="D3" s="110">
        <v>45698.868603703704</v>
      </c>
      <c r="E3" t="s">
        <v>123</v>
      </c>
    </row>
    <row r="4" spans="1:5" x14ac:dyDescent="0.2">
      <c r="A4" t="s">
        <v>12</v>
      </c>
      <c r="B4" t="s">
        <v>13</v>
      </c>
      <c r="C4">
        <v>0</v>
      </c>
      <c r="D4" s="7">
        <v>43831</v>
      </c>
    </row>
    <row r="5" spans="1:5" x14ac:dyDescent="0.2">
      <c r="A5"/>
      <c r="B5"/>
      <c r="C5"/>
      <c r="D5" s="7"/>
      <c r="E5" t="s">
        <v>122</v>
      </c>
    </row>
    <row r="6" spans="1:5" x14ac:dyDescent="0.2">
      <c r="A6"/>
      <c r="B6"/>
      <c r="C6"/>
      <c r="D6" s="7"/>
    </row>
    <row r="7" spans="1:5" x14ac:dyDescent="0.2">
      <c r="A7"/>
      <c r="B7"/>
      <c r="C7"/>
      <c r="D7" s="7"/>
    </row>
    <row r="8" spans="1:5" x14ac:dyDescent="0.2">
      <c r="A8"/>
      <c r="B8"/>
      <c r="C8"/>
      <c r="D8" s="7"/>
    </row>
    <row r="9" spans="1:5" x14ac:dyDescent="0.2">
      <c r="A9"/>
      <c r="B9"/>
      <c r="C9" s="7"/>
      <c r="D9"/>
    </row>
    <row r="10" spans="1:5" x14ac:dyDescent="0.2">
      <c r="A10"/>
      <c r="B10"/>
      <c r="C10" s="7"/>
      <c r="D10"/>
    </row>
    <row r="11" spans="1:5" x14ac:dyDescent="0.2">
      <c r="A11"/>
      <c r="B11"/>
      <c r="C11" s="7"/>
      <c r="D11"/>
    </row>
    <row r="12" spans="1:5" x14ac:dyDescent="0.2">
      <c r="A12"/>
      <c r="B12"/>
      <c r="C12" s="7"/>
      <c r="D12"/>
    </row>
    <row r="13" spans="1:5" x14ac:dyDescent="0.2">
      <c r="A13"/>
      <c r="B13"/>
      <c r="C13" s="7"/>
      <c r="D13"/>
    </row>
    <row r="14" spans="1:5" x14ac:dyDescent="0.2">
      <c r="A14"/>
      <c r="B14"/>
      <c r="C14" s="7"/>
      <c r="D14"/>
    </row>
    <row r="15" spans="1:5" x14ac:dyDescent="0.2">
      <c r="A15"/>
      <c r="B15"/>
      <c r="C15" s="7"/>
      <c r="D15"/>
    </row>
    <row r="16" spans="1:5" x14ac:dyDescent="0.2">
      <c r="A16"/>
      <c r="B16"/>
      <c r="C16" s="7"/>
      <c r="D16"/>
    </row>
    <row r="17" spans="1:4" x14ac:dyDescent="0.2">
      <c r="A17"/>
      <c r="B17"/>
      <c r="C17" s="7"/>
      <c r="D17"/>
    </row>
    <row r="18" spans="1:4" x14ac:dyDescent="0.2">
      <c r="A18"/>
      <c r="B18"/>
      <c r="C18" s="7"/>
      <c r="D18"/>
    </row>
    <row r="19" spans="1:4" x14ac:dyDescent="0.2">
      <c r="A19"/>
      <c r="B19"/>
      <c r="C19" s="7"/>
      <c r="D19"/>
    </row>
    <row r="20" spans="1:4" x14ac:dyDescent="0.2">
      <c r="C20" s="5"/>
    </row>
    <row r="21" spans="1:4" x14ac:dyDescent="0.2">
      <c r="C21" s="5"/>
    </row>
    <row r="22" spans="1:4" x14ac:dyDescent="0.2">
      <c r="A22" s="2"/>
      <c r="B22" s="2"/>
      <c r="C22" s="3"/>
      <c r="D22" s="2"/>
    </row>
    <row r="23" spans="1:4" x14ac:dyDescent="0.2">
      <c r="A23" s="2"/>
      <c r="B23" s="2"/>
      <c r="C23" s="3"/>
      <c r="D23" s="2"/>
    </row>
    <row r="24" spans="1:4" x14ac:dyDescent="0.2">
      <c r="A24" s="2"/>
      <c r="B24" s="2"/>
      <c r="C24" s="3"/>
      <c r="D24" s="2"/>
    </row>
    <row r="25" spans="1:4" x14ac:dyDescent="0.2">
      <c r="C25" s="5"/>
    </row>
    <row r="26" spans="1:4" x14ac:dyDescent="0.2">
      <c r="A26" s="2"/>
      <c r="B26" s="2"/>
      <c r="C26" s="3"/>
      <c r="D26" s="2"/>
    </row>
    <row r="27" spans="1:4" x14ac:dyDescent="0.2">
      <c r="A27" s="2"/>
      <c r="B27" s="2"/>
      <c r="C27" s="3"/>
      <c r="D27" s="2"/>
    </row>
    <row r="28" spans="1:4" x14ac:dyDescent="0.2">
      <c r="A28" s="2"/>
      <c r="B28" s="2"/>
      <c r="C28" s="3"/>
      <c r="D28" s="2"/>
    </row>
    <row r="29" spans="1:4" x14ac:dyDescent="0.2">
      <c r="A29" s="2"/>
      <c r="B29" s="2"/>
      <c r="C29" s="3"/>
      <c r="D29" s="2"/>
    </row>
    <row r="30" spans="1:4" x14ac:dyDescent="0.2">
      <c r="A30" s="2"/>
      <c r="B30" s="2"/>
      <c r="C30" s="3"/>
      <c r="D30" s="2"/>
    </row>
    <row r="31" spans="1:4" x14ac:dyDescent="0.2">
      <c r="A31" s="2"/>
      <c r="B31" s="2"/>
      <c r="C31" s="3"/>
      <c r="D31" s="2"/>
    </row>
    <row r="32" spans="1:4" x14ac:dyDescent="0.2">
      <c r="A32" s="2"/>
      <c r="B32" s="2"/>
      <c r="C32" s="3"/>
      <c r="D32" s="2"/>
    </row>
    <row r="33" spans="1:4" x14ac:dyDescent="0.2">
      <c r="A33" s="2"/>
      <c r="B33" s="2"/>
      <c r="C33" s="3"/>
      <c r="D33" s="2"/>
    </row>
    <row r="34" spans="1:4" x14ac:dyDescent="0.2">
      <c r="A34" s="2"/>
      <c r="B34" s="2"/>
      <c r="C34" s="3"/>
      <c r="D34" s="2"/>
    </row>
    <row r="35" spans="1:4" x14ac:dyDescent="0.2">
      <c r="A35" s="2"/>
      <c r="B35" s="2"/>
      <c r="C35" s="3"/>
      <c r="D35" s="2"/>
    </row>
    <row r="36" spans="1:4" x14ac:dyDescent="0.2">
      <c r="A36" s="2"/>
      <c r="B36" s="2"/>
      <c r="C36" s="3"/>
      <c r="D36" s="2"/>
    </row>
    <row r="37" spans="1:4" x14ac:dyDescent="0.2">
      <c r="A37" s="2"/>
      <c r="B37" s="2"/>
      <c r="C37" s="3"/>
      <c r="D37" s="2"/>
    </row>
    <row r="38" spans="1:4" x14ac:dyDescent="0.2">
      <c r="A38" s="2"/>
      <c r="B38" s="2"/>
      <c r="C38" s="3"/>
      <c r="D38" s="2"/>
    </row>
    <row r="39" spans="1:4" x14ac:dyDescent="0.2">
      <c r="A39" s="2"/>
      <c r="B39" s="2"/>
      <c r="C39" s="3"/>
      <c r="D39" s="2"/>
    </row>
    <row r="40" spans="1:4" x14ac:dyDescent="0.2">
      <c r="A40" s="2"/>
      <c r="B40" s="2"/>
      <c r="C40" s="3"/>
      <c r="D40" s="2"/>
    </row>
    <row r="41" spans="1:4" x14ac:dyDescent="0.2">
      <c r="A41" s="2"/>
      <c r="B41" s="2"/>
      <c r="C41" s="3"/>
      <c r="D41" s="2"/>
    </row>
    <row r="42" spans="1:4" x14ac:dyDescent="0.2">
      <c r="A42" s="2"/>
      <c r="B42" s="2"/>
      <c r="C42" s="3"/>
      <c r="D42" s="2"/>
    </row>
    <row r="43" spans="1:4" x14ac:dyDescent="0.2">
      <c r="A43" s="2"/>
      <c r="B43" s="2"/>
      <c r="C43" s="3"/>
      <c r="D43" s="2"/>
    </row>
    <row r="44" spans="1:4" x14ac:dyDescent="0.2">
      <c r="A44" s="2"/>
      <c r="B44" s="2"/>
      <c r="C44" s="3"/>
      <c r="D44" s="2"/>
    </row>
    <row r="45" spans="1:4" x14ac:dyDescent="0.2">
      <c r="A45" s="2"/>
      <c r="B45" s="2"/>
      <c r="C45" s="3"/>
      <c r="D45" s="2"/>
    </row>
    <row r="46" spans="1:4" x14ac:dyDescent="0.2">
      <c r="A46" s="2"/>
      <c r="B46" s="2"/>
      <c r="C46" s="3"/>
      <c r="D46" s="2"/>
    </row>
    <row r="47" spans="1:4" x14ac:dyDescent="0.2">
      <c r="A47" s="2"/>
      <c r="B47" s="2"/>
      <c r="C47" s="3"/>
      <c r="D47" s="2"/>
    </row>
    <row r="48" spans="1:4" x14ac:dyDescent="0.2">
      <c r="A48" s="2"/>
      <c r="B48" s="2"/>
      <c r="C48" s="3"/>
      <c r="D48" s="2"/>
    </row>
    <row r="49" spans="1:4" x14ac:dyDescent="0.2">
      <c r="A49" s="2"/>
      <c r="B49" s="2"/>
      <c r="C49" s="3"/>
      <c r="D49" s="2"/>
    </row>
    <row r="50" spans="1:4" x14ac:dyDescent="0.2">
      <c r="A50" s="2"/>
      <c r="B50" s="2"/>
      <c r="C50" s="3"/>
      <c r="D50" s="2"/>
    </row>
    <row r="51" spans="1:4" x14ac:dyDescent="0.2">
      <c r="A51" s="2"/>
      <c r="B51" s="2"/>
      <c r="C51" s="3"/>
      <c r="D51" s="2"/>
    </row>
    <row r="52" spans="1:4" x14ac:dyDescent="0.2">
      <c r="A52" s="2"/>
      <c r="B52" s="2"/>
      <c r="C52" s="3"/>
      <c r="D52" s="2"/>
    </row>
    <row r="53" spans="1:4" x14ac:dyDescent="0.2">
      <c r="A53" s="2"/>
      <c r="B53" s="2"/>
      <c r="C53" s="3"/>
      <c r="D53" s="2"/>
    </row>
    <row r="54" spans="1:4" x14ac:dyDescent="0.2">
      <c r="A54" s="2"/>
      <c r="B54" s="2"/>
      <c r="C54" s="3"/>
      <c r="D54" s="2"/>
    </row>
    <row r="55" spans="1:4" x14ac:dyDescent="0.2">
      <c r="A55" s="2"/>
      <c r="B55" s="2"/>
      <c r="C55" s="3"/>
      <c r="D55" s="2"/>
    </row>
    <row r="56" spans="1:4" x14ac:dyDescent="0.2">
      <c r="A56" s="2"/>
      <c r="B56" s="2"/>
      <c r="C56" s="3"/>
      <c r="D56" s="2"/>
    </row>
    <row r="57" spans="1:4" x14ac:dyDescent="0.2">
      <c r="A57" s="2"/>
      <c r="B57" s="2"/>
      <c r="C57" s="3"/>
      <c r="D57" s="2"/>
    </row>
    <row r="58" spans="1:4" x14ac:dyDescent="0.2">
      <c r="A58" s="2"/>
      <c r="B58" s="2"/>
      <c r="C58" s="3"/>
      <c r="D58" s="2"/>
    </row>
    <row r="59" spans="1:4" x14ac:dyDescent="0.2">
      <c r="A59" s="2"/>
      <c r="B59" s="2"/>
      <c r="C59" s="3"/>
      <c r="D59" s="2"/>
    </row>
    <row r="60" spans="1:4" x14ac:dyDescent="0.2">
      <c r="A60" s="2"/>
      <c r="B60" s="2"/>
      <c r="C60" s="3"/>
      <c r="D60" s="2"/>
    </row>
    <row r="61" spans="1:4" x14ac:dyDescent="0.2">
      <c r="A61" s="2"/>
      <c r="B61" s="2"/>
      <c r="C61" s="3"/>
      <c r="D61" s="2"/>
    </row>
    <row r="62" spans="1:4" x14ac:dyDescent="0.2">
      <c r="A62" s="2"/>
      <c r="B62" s="2"/>
      <c r="C62" s="3"/>
      <c r="D62" s="2"/>
    </row>
    <row r="63" spans="1:4" x14ac:dyDescent="0.2">
      <c r="A63" s="2"/>
      <c r="B63" s="2"/>
      <c r="C63" s="3"/>
      <c r="D63" s="2"/>
    </row>
    <row r="64" spans="1:4" x14ac:dyDescent="0.2">
      <c r="A64" s="2"/>
      <c r="B64" s="2"/>
      <c r="C64" s="3"/>
      <c r="D64" s="2"/>
    </row>
    <row r="65" spans="1:4" x14ac:dyDescent="0.2">
      <c r="A65" s="2"/>
      <c r="B65" s="2"/>
      <c r="C65" s="3"/>
      <c r="D65" s="2"/>
    </row>
    <row r="66" spans="1:4" x14ac:dyDescent="0.2">
      <c r="A66" s="2"/>
      <c r="B66" s="2"/>
      <c r="C66" s="3"/>
      <c r="D66" s="2"/>
    </row>
    <row r="67" spans="1:4" x14ac:dyDescent="0.2">
      <c r="A67" s="2"/>
      <c r="B67" s="2"/>
      <c r="C67" s="3"/>
      <c r="D67" s="2"/>
    </row>
    <row r="68" spans="1:4" x14ac:dyDescent="0.2">
      <c r="A68" s="2"/>
      <c r="B68" s="2"/>
      <c r="C68" s="3"/>
      <c r="D68" s="2"/>
    </row>
    <row r="69" spans="1:4" x14ac:dyDescent="0.2">
      <c r="A69" s="2"/>
      <c r="B69" s="2"/>
      <c r="C69" s="3"/>
      <c r="D69" s="2"/>
    </row>
    <row r="70" spans="1:4" x14ac:dyDescent="0.2">
      <c r="A70" s="2"/>
      <c r="B70" s="3"/>
      <c r="C70" s="2"/>
      <c r="D70" s="2"/>
    </row>
    <row r="71" spans="1:4" x14ac:dyDescent="0.2">
      <c r="A71" s="2"/>
      <c r="B71" s="3"/>
      <c r="C71" s="2"/>
      <c r="D71" s="2"/>
    </row>
    <row r="72" spans="1:4" x14ac:dyDescent="0.2">
      <c r="A72" s="2"/>
      <c r="B72" s="3"/>
      <c r="C72" s="2"/>
      <c r="D72" s="2"/>
    </row>
    <row r="73" spans="1:4" x14ac:dyDescent="0.2">
      <c r="A73" s="2"/>
      <c r="B73" s="3"/>
      <c r="C73" s="2"/>
      <c r="D73" s="2"/>
    </row>
    <row r="74" spans="1:4" x14ac:dyDescent="0.2">
      <c r="A74" s="2"/>
      <c r="B74" s="3"/>
      <c r="C74" s="2"/>
      <c r="D74" s="2"/>
    </row>
    <row r="75" spans="1:4" x14ac:dyDescent="0.2">
      <c r="A75" s="2"/>
      <c r="B75" s="3"/>
      <c r="C75" s="2"/>
      <c r="D75" s="2"/>
    </row>
    <row r="76" spans="1:4" x14ac:dyDescent="0.2">
      <c r="A76" s="2"/>
      <c r="B76" s="3"/>
      <c r="C76" s="2"/>
      <c r="D76" s="2"/>
    </row>
    <row r="77" spans="1:4" x14ac:dyDescent="0.2">
      <c r="A77" s="2"/>
      <c r="B77" s="3"/>
      <c r="C77" s="2"/>
      <c r="D77" s="2"/>
    </row>
    <row r="78" spans="1:4" x14ac:dyDescent="0.2">
      <c r="A78" s="2"/>
      <c r="B78" s="3"/>
      <c r="C78" s="2"/>
      <c r="D78" s="2"/>
    </row>
    <row r="79" spans="1:4" x14ac:dyDescent="0.2">
      <c r="A79" s="2"/>
      <c r="B79" s="3"/>
      <c r="C79" s="2"/>
      <c r="D79" s="2"/>
    </row>
    <row r="80" spans="1:4" x14ac:dyDescent="0.2">
      <c r="A80" s="2"/>
      <c r="B80" s="3"/>
      <c r="C80" s="2"/>
      <c r="D80" s="2"/>
    </row>
    <row r="81" spans="1:4" x14ac:dyDescent="0.2">
      <c r="A81" s="2"/>
      <c r="B81" s="3"/>
      <c r="C81" s="2"/>
      <c r="D81" s="2"/>
    </row>
    <row r="82" spans="1:4" x14ac:dyDescent="0.2">
      <c r="A82" s="2"/>
      <c r="B82" s="3"/>
      <c r="C82" s="2"/>
      <c r="D82" s="2"/>
    </row>
    <row r="83" spans="1:4" x14ac:dyDescent="0.2">
      <c r="A83" s="2"/>
      <c r="B83" s="3"/>
      <c r="C83" s="2"/>
      <c r="D83" s="2"/>
    </row>
    <row r="84" spans="1:4" x14ac:dyDescent="0.2">
      <c r="A84" s="2"/>
      <c r="B84" s="3"/>
      <c r="C84" s="2"/>
      <c r="D84" s="2"/>
    </row>
    <row r="85" spans="1:4" x14ac:dyDescent="0.2">
      <c r="A85" s="2"/>
      <c r="B85" s="3"/>
      <c r="C85" s="2"/>
      <c r="D85" s="2"/>
    </row>
    <row r="86" spans="1:4" x14ac:dyDescent="0.2">
      <c r="A86" s="2"/>
      <c r="B86" s="3"/>
      <c r="C86" s="2"/>
      <c r="D86" s="2"/>
    </row>
    <row r="87" spans="1:4" x14ac:dyDescent="0.2">
      <c r="A87" s="2"/>
      <c r="B87" s="3"/>
      <c r="C87" s="2"/>
      <c r="D87" s="2"/>
    </row>
    <row r="88" spans="1:4" x14ac:dyDescent="0.2">
      <c r="A88" s="2"/>
      <c r="B88" s="3"/>
      <c r="C88" s="2"/>
      <c r="D88" s="2"/>
    </row>
    <row r="89" spans="1:4" x14ac:dyDescent="0.2">
      <c r="A89" s="2"/>
      <c r="B89" s="3"/>
      <c r="C89" s="2"/>
      <c r="D89" s="2"/>
    </row>
    <row r="90" spans="1:4" x14ac:dyDescent="0.2">
      <c r="A90" s="2"/>
      <c r="B90" s="3"/>
      <c r="C90" s="2"/>
      <c r="D90" s="2"/>
    </row>
    <row r="91" spans="1:4" x14ac:dyDescent="0.2">
      <c r="A91" s="2"/>
      <c r="B91" s="3"/>
      <c r="C91" s="2"/>
      <c r="D91" s="2"/>
    </row>
    <row r="92" spans="1:4" x14ac:dyDescent="0.2">
      <c r="B92" s="5"/>
    </row>
    <row r="93" spans="1:4" x14ac:dyDescent="0.2">
      <c r="B93" s="5"/>
    </row>
    <row r="94" spans="1:4" x14ac:dyDescent="0.2">
      <c r="B94" s="5"/>
    </row>
    <row r="95" spans="1:4" x14ac:dyDescent="0.2">
      <c r="B95" s="5"/>
    </row>
    <row r="96" spans="1:4" x14ac:dyDescent="0.2">
      <c r="B96" s="5"/>
    </row>
    <row r="97" spans="2:2" x14ac:dyDescent="0.2">
      <c r="B97" s="5"/>
    </row>
    <row r="98" spans="2:2" x14ac:dyDescent="0.2">
      <c r="B98" s="5"/>
    </row>
    <row r="99" spans="2:2" x14ac:dyDescent="0.2">
      <c r="B99" s="5"/>
    </row>
    <row r="100" spans="2:2" x14ac:dyDescent="0.2">
      <c r="B100" s="5"/>
    </row>
    <row r="102" spans="2:2" x14ac:dyDescent="0.2">
      <c r="B102" s="5"/>
    </row>
    <row r="103" spans="2:2" x14ac:dyDescent="0.2">
      <c r="B103" s="5"/>
    </row>
    <row r="104" spans="2:2" x14ac:dyDescent="0.2">
      <c r="B104" s="5"/>
    </row>
    <row r="106" spans="2:2" x14ac:dyDescent="0.2">
      <c r="B106" s="5"/>
    </row>
    <row r="107" spans="2:2" x14ac:dyDescent="0.2">
      <c r="B107" s="5"/>
    </row>
    <row r="108" spans="2:2" x14ac:dyDescent="0.2">
      <c r="B108" s="5"/>
    </row>
    <row r="109" spans="2:2" x14ac:dyDescent="0.2">
      <c r="B109" s="5"/>
    </row>
    <row r="110" spans="2:2" x14ac:dyDescent="0.2">
      <c r="B110" s="5"/>
    </row>
    <row r="111" spans="2:2" x14ac:dyDescent="0.2">
      <c r="B111" s="5"/>
    </row>
    <row r="112" spans="2:2" x14ac:dyDescent="0.2">
      <c r="B112" s="5"/>
    </row>
    <row r="113" spans="2:2" x14ac:dyDescent="0.2">
      <c r="B113" s="5"/>
    </row>
    <row r="114" spans="2:2" x14ac:dyDescent="0.2">
      <c r="B114" s="5"/>
    </row>
    <row r="115" spans="2:2" x14ac:dyDescent="0.2">
      <c r="B115" s="5"/>
    </row>
    <row r="116" spans="2:2" x14ac:dyDescent="0.2">
      <c r="B116" s="5"/>
    </row>
    <row r="119" spans="2:2" x14ac:dyDescent="0.2">
      <c r="B119" s="5"/>
    </row>
    <row r="120" spans="2:2" x14ac:dyDescent="0.2">
      <c r="B120" s="5"/>
    </row>
    <row r="121" spans="2:2" x14ac:dyDescent="0.2">
      <c r="B121" s="5"/>
    </row>
    <row r="122" spans="2:2" x14ac:dyDescent="0.2">
      <c r="B122" s="5"/>
    </row>
    <row r="123" spans="2:2" x14ac:dyDescent="0.2">
      <c r="B123" s="5"/>
    </row>
    <row r="124" spans="2:2" x14ac:dyDescent="0.2">
      <c r="B124" s="5"/>
    </row>
    <row r="125" spans="2:2" x14ac:dyDescent="0.2">
      <c r="B125" s="5"/>
    </row>
    <row r="126" spans="2:2" x14ac:dyDescent="0.2">
      <c r="B126" s="5"/>
    </row>
    <row r="127" spans="2:2" x14ac:dyDescent="0.2">
      <c r="B127" s="5"/>
    </row>
    <row r="128" spans="2:2" x14ac:dyDescent="0.2">
      <c r="B128" s="5"/>
    </row>
    <row r="129" spans="2:2" x14ac:dyDescent="0.2">
      <c r="B129" s="5"/>
    </row>
    <row r="130" spans="2:2" x14ac:dyDescent="0.2">
      <c r="B130" s="5"/>
    </row>
    <row r="131" spans="2:2" x14ac:dyDescent="0.2">
      <c r="B131" s="5"/>
    </row>
    <row r="133" spans="2:2" x14ac:dyDescent="0.2">
      <c r="B133" s="6"/>
    </row>
  </sheetData>
  <sheetProtection formatCells="0" formatColumns="0" formatRows="0" insertColumns="0" insertRows="0" selectLockedCells="1"/>
  <protectedRanges>
    <protectedRange sqref="D81:D96 A81:B96 A97:D1048576 A2:D80" name="Range1"/>
  </protectedRange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S12"/>
  <sheetViews>
    <sheetView workbookViewId="0">
      <selection activeCell="B11" sqref="B11"/>
    </sheetView>
  </sheetViews>
  <sheetFormatPr baseColWidth="10" defaultColWidth="9.1640625" defaultRowHeight="15" x14ac:dyDescent="0.2"/>
  <cols>
    <col min="1" max="1" width="9.1640625" style="8" customWidth="1"/>
    <col min="2" max="16384" width="9.1640625" style="8"/>
  </cols>
  <sheetData>
    <row r="1" spans="1:19" x14ac:dyDescent="0.2">
      <c r="A1" s="15"/>
      <c r="G1" s="17"/>
      <c r="S1" s="1"/>
    </row>
    <row r="2" spans="1:19" x14ac:dyDescent="0.2">
      <c r="A2" s="16"/>
      <c r="G2" s="1"/>
    </row>
    <row r="3" spans="1:19" x14ac:dyDescent="0.2">
      <c r="G3" s="1"/>
    </row>
    <row r="12" spans="1:19" x14ac:dyDescent="0.2">
      <c r="B12" s="1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StartHere</vt:lpstr>
      <vt:lpstr>W1</vt:lpstr>
      <vt:lpstr>CommonErrors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Kurt Schmitz</dc:creator>
  <cp:keywords/>
  <dc:description/>
  <cp:lastModifiedBy>Kike Otufale</cp:lastModifiedBy>
  <dcterms:created xsi:type="dcterms:W3CDTF">2017-10-26T20:43:12Z</dcterms:created>
  <dcterms:modified xsi:type="dcterms:W3CDTF">2025-02-11T03:09:56Z</dcterms:modified>
  <cp:category/>
</cp:coreProperties>
</file>