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9" codeName="{857A39E2-67AF-9BA6-E15C-A4B3A0C75593}"/>
  <workbookPr codeName="ThisWorkbook" defaultThemeVersion="166925"/>
  <mc:AlternateContent xmlns:mc="http://schemas.openxmlformats.org/markup-compatibility/2006">
    <mc:Choice Requires="x15">
      <x15ac:absPath xmlns:x15ac="http://schemas.microsoft.com/office/spreadsheetml/2010/11/ac" url="/Users/Shared/CIS2010/"/>
    </mc:Choice>
  </mc:AlternateContent>
  <xr:revisionPtr revIDLastSave="0" documentId="8_{DC8FBF7A-2DB4-3846-BB59-56F770E0AB41}" xr6:coauthVersionLast="47" xr6:coauthVersionMax="47" xr10:uidLastSave="{00000000-0000-0000-0000-000000000000}"/>
  <bookViews>
    <workbookView xWindow="11720" yWindow="0" windowWidth="17080" windowHeight="18000" activeTab="6" xr2:uid="{00000000-000D-0000-FFFF-FFFF00000000}"/>
  </bookViews>
  <sheets>
    <sheet name="StartHere" sheetId="1" r:id="rId1"/>
    <sheet name="MList" sheetId="45" state="hidden" r:id="rId2"/>
    <sheet name="GAdata" sheetId="44" r:id="rId3"/>
    <sheet name="PayData" sheetId="41" r:id="rId4"/>
    <sheet name="Data Source" sheetId="37" r:id="rId5"/>
    <sheet name="CCp" sheetId="42" r:id="rId6"/>
    <sheet name="ICp" sheetId="43" r:id="rId7"/>
    <sheet name="CCmeeting" sheetId="36" state="veryHidden" r:id="rId8"/>
    <sheet name="CPY" sheetId="46" r:id="rId9"/>
    <sheet name="DECODE" sheetId="39" r:id="rId10"/>
    <sheet name="5.ID" sheetId="4" state="veryHidden" r:id="rId11"/>
  </sheets>
  <definedNames>
    <definedName name="_xlnm._FilterDatabase" localSheetId="2" hidden="1">GAdata!$A$1:$AA$762</definedName>
    <definedName name="_xlnm._FilterDatabase" localSheetId="3" hidden="1">PayData!$F$1:$I$328</definedName>
  </definedNames>
  <calcPr calcId="191029"/>
  <pivotCaches>
    <pivotCache cacheId="26" r:id="rId12"/>
  </pivotCaches>
  <fileRecoveryPr autoRecover="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C18" i="1" l="1"/>
  <c r="C16" i="1" s="1"/>
  <c r="C17" i="1"/>
  <c r="C14" i="1"/>
  <c r="C13" i="1"/>
  <c r="A1" i="36"/>
  <c r="C8" i="1" l="1"/>
</calcChain>
</file>

<file path=xl/sharedStrings.xml><?xml version="1.0" encoding="utf-8"?>
<sst xmlns="http://schemas.openxmlformats.org/spreadsheetml/2006/main" count="734" uniqueCount="517">
  <si>
    <t>Name</t>
  </si>
  <si>
    <t>Date/time</t>
  </si>
  <si>
    <t xml:space="preserve"> &lt;&lt;- enter your name here</t>
  </si>
  <si>
    <t xml:space="preserve"> &lt;&lt;- enter your Student ID here</t>
  </si>
  <si>
    <t>Panther ID</t>
  </si>
  <si>
    <t>Do Not Alter or Delete this Worksheet or you submission cannot be graded!</t>
  </si>
  <si>
    <t>(2)</t>
  </si>
  <si>
    <t xml:space="preserve"> assignment folder to receive credit for this workshop/tutorial</t>
  </si>
  <si>
    <t>(3)</t>
  </si>
  <si>
    <t>(4)</t>
  </si>
  <si>
    <t>Action</t>
  </si>
  <si>
    <t>Date/Time</t>
  </si>
  <si>
    <t>Never use a file created or started by another student (that is academic dishonesty).
All text, codes, writing, data entry, formulas, configuration and instructions must be performed by the individual submitting the work.</t>
  </si>
  <si>
    <t>Collaboration Started</t>
  </si>
  <si>
    <t>Student ID</t>
  </si>
  <si>
    <t>(1)</t>
  </si>
  <si>
    <t>Excel release</t>
  </si>
  <si>
    <t>OS</t>
  </si>
  <si>
    <t xml:space="preserve">Change the file name to include your name. </t>
  </si>
  <si>
    <t>When done with your work, Click [I'm Done]</t>
  </si>
  <si>
    <t>Upload the file to the applicable iCollege</t>
  </si>
  <si>
    <r>
      <t xml:space="preserve">Add your name to </t>
    </r>
    <r>
      <rPr>
        <i/>
        <sz val="11"/>
        <color theme="5" tint="-0.499984740745262"/>
        <rFont val="Calibri"/>
        <family val="2"/>
        <scheme val="minor"/>
      </rPr>
      <t>Cell C4</t>
    </r>
    <r>
      <rPr>
        <sz val="11"/>
        <color theme="1"/>
        <rFont val="Calibri"/>
        <family val="2"/>
        <scheme val="minor"/>
      </rPr>
      <t xml:space="preserve"> and your Student ID to cell C6. Then  Click [Start Here] to finish loading data.</t>
    </r>
  </si>
  <si>
    <t>You must use Excel Desktop. Cloud Excel 365 will not work for this class.</t>
  </si>
  <si>
    <t>Here</t>
  </si>
  <si>
    <t>Replace the Screenshot in the cell below with an image from your computer showing participants by name and date/time</t>
  </si>
  <si>
    <t>Windows Screen capture</t>
  </si>
  <si>
    <t>Shift-Window-S</t>
  </si>
  <si>
    <t>Macontosh Screen capture</t>
  </si>
  <si>
    <t>Shift-Command-5</t>
  </si>
  <si>
    <t>https://www.glassdoor.com/blog/50-highest-paying-college-majors/</t>
  </si>
  <si>
    <t>Rank</t>
  </si>
  <si>
    <t>Median Base Salary</t>
  </si>
  <si>
    <t>G</t>
  </si>
  <si>
    <t>S</t>
  </si>
  <si>
    <t>T</t>
  </si>
  <si>
    <t>W</t>
  </si>
  <si>
    <t>H</t>
  </si>
  <si>
    <t>e</t>
  </si>
  <si>
    <t>l</t>
  </si>
  <si>
    <t>s</t>
  </si>
  <si>
    <t>-</t>
  </si>
  <si>
    <t>i</t>
  </si>
  <si>
    <t>R</t>
  </si>
  <si>
    <t>P</t>
  </si>
  <si>
    <t>U</t>
  </si>
  <si>
    <t>I</t>
  </si>
  <si>
    <t>N</t>
  </si>
  <si>
    <t>t</t>
  </si>
  <si>
    <t>L</t>
  </si>
  <si>
    <t>x</t>
  </si>
  <si>
    <t>a</t>
  </si>
  <si>
    <t>u</t>
  </si>
  <si>
    <t>]</t>
  </si>
  <si>
    <t>O</t>
  </si>
  <si>
    <t>E</t>
  </si>
  <si>
    <t>o</t>
  </si>
  <si>
    <t>!</t>
  </si>
  <si>
    <t>.</t>
  </si>
  <si>
    <t>A</t>
  </si>
  <si>
    <t>X</t>
  </si>
  <si>
    <t>p</t>
  </si>
  <si>
    <t>n</t>
  </si>
  <si>
    <t>C</t>
  </si>
  <si>
    <t>K</t>
  </si>
  <si>
    <t>D</t>
  </si>
  <si>
    <t>r</t>
  </si>
  <si>
    <t>v</t>
  </si>
  <si>
    <t>h</t>
  </si>
  <si>
    <t>g</t>
  </si>
  <si>
    <t>d</t>
  </si>
  <si>
    <t>b</t>
  </si>
  <si>
    <t>y</t>
  </si>
  <si>
    <t>w</t>
  </si>
  <si>
    <t>c</t>
  </si>
  <si>
    <t>k</t>
  </si>
  <si>
    <t>m</t>
  </si>
  <si>
    <t>F</t>
  </si>
  <si>
    <t>M</t>
  </si>
  <si>
    <t>1. Computer Science</t>
  </si>
  <si>
    <t>2. Electrical Engineering</t>
  </si>
  <si>
    <t>7. Civil Engineering</t>
  </si>
  <si>
    <t>8. Statistics</t>
  </si>
  <si>
    <t>9. Nursing</t>
  </si>
  <si>
    <t>10. Management Information Systems</t>
  </si>
  <si>
    <t>11. Finance</t>
  </si>
  <si>
    <t>13. Biomedical Engineering</t>
  </si>
  <si>
    <t>14. Accounting</t>
  </si>
  <si>
    <t>15. Economics</t>
  </si>
  <si>
    <t>16. Physics</t>
  </si>
  <si>
    <t>17. Biotechnology</t>
  </si>
  <si>
    <t>18. Architecture</t>
  </si>
  <si>
    <t>19. Fashion Design</t>
  </si>
  <si>
    <t>20. Business</t>
  </si>
  <si>
    <t>21. International Relations</t>
  </si>
  <si>
    <t>22. Graphic Design</t>
  </si>
  <si>
    <t>23. Marketing</t>
  </si>
  <si>
    <t>24. English</t>
  </si>
  <si>
    <t>25. Political Science</t>
  </si>
  <si>
    <t>27. Human Resources</t>
  </si>
  <si>
    <t>28. Journalism</t>
  </si>
  <si>
    <t>29. Advertising</t>
  </si>
  <si>
    <t>32. Social Science</t>
  </si>
  <si>
    <t>33. Spanish</t>
  </si>
  <si>
    <t>34. Communications</t>
  </si>
  <si>
    <t>35. Interior Design</t>
  </si>
  <si>
    <t>36. Chemistry</t>
  </si>
  <si>
    <t>37. Music</t>
  </si>
  <si>
    <t>38. Film Studies</t>
  </si>
  <si>
    <t>39. Public Relations</t>
  </si>
  <si>
    <t>41. Education</t>
  </si>
  <si>
    <t>42. Anthropology</t>
  </si>
  <si>
    <t>44. Biochemistry</t>
  </si>
  <si>
    <t>45. Liberal Arts</t>
  </si>
  <si>
    <t>47. Sociology</t>
  </si>
  <si>
    <t>49. Social Work</t>
  </si>
  <si>
    <t>50. Biology</t>
  </si>
  <si>
    <r>
      <t xml:space="preserve">The screenshot is worth points if it contains </t>
    </r>
    <r>
      <rPr>
        <i/>
        <sz val="11"/>
        <color rgb="FF0070C0"/>
        <rFont val="Calibri"/>
        <family val="2"/>
        <scheme val="minor"/>
      </rPr>
      <t>two or more students registered in this class</t>
    </r>
    <r>
      <rPr>
        <sz val="11"/>
        <color theme="1"/>
        <rFont val="Calibri"/>
        <family val="2"/>
        <scheme val="minor"/>
      </rPr>
      <t xml:space="preserve"> and contans a </t>
    </r>
    <r>
      <rPr>
        <sz val="11"/>
        <color rgb="FF0070C0"/>
        <rFont val="Calibri"/>
        <family val="2"/>
        <scheme val="minor"/>
      </rPr>
      <t>current date/timestamp</t>
    </r>
    <r>
      <rPr>
        <sz val="11"/>
        <color theme="1"/>
        <rFont val="Calibri"/>
        <family val="2"/>
        <scheme val="minor"/>
      </rPr>
      <t xml:space="preserve"> for any of the days associated with the scheduled session.
You can open the participant list in MS Teams by clicking on the </t>
    </r>
    <r>
      <rPr>
        <b/>
        <sz val="11"/>
        <color theme="1"/>
        <rFont val="Calibri"/>
        <family val="2"/>
        <scheme val="minor"/>
      </rPr>
      <t xml:space="preserve">Show Participants </t>
    </r>
    <r>
      <rPr>
        <sz val="11"/>
        <color theme="1"/>
        <rFont val="Calibri"/>
        <family val="2"/>
        <scheme val="minor"/>
      </rPr>
      <t xml:space="preserve">button (see image to the left).
Expose the </t>
    </r>
    <r>
      <rPr>
        <b/>
        <sz val="11"/>
        <color theme="1"/>
        <rFont val="Calibri"/>
        <family val="2"/>
        <scheme val="minor"/>
      </rPr>
      <t xml:space="preserve">date/time on a Mac </t>
    </r>
    <r>
      <rPr>
        <sz val="11"/>
        <color theme="1"/>
        <rFont val="Calibri"/>
        <family val="2"/>
        <scheme val="minor"/>
      </rPr>
      <t xml:space="preserve">by hovering on the Apple menu at the top of the screen.
Expose the </t>
    </r>
    <r>
      <rPr>
        <b/>
        <sz val="11"/>
        <color theme="1"/>
        <rFont val="Calibri"/>
        <family val="2"/>
        <scheme val="minor"/>
      </rPr>
      <t xml:space="preserve">date/time on a Windows </t>
    </r>
    <r>
      <rPr>
        <sz val="11"/>
        <color theme="1"/>
        <rFont val="Calibri"/>
        <family val="2"/>
        <scheme val="minor"/>
      </rPr>
      <t>computer by hovering on the taskbar at the bottom of the screen.</t>
    </r>
  </si>
  <si>
    <t>50 Highest Paying College Majors - Glassdoor Blog</t>
  </si>
  <si>
    <t>Methodology:  Nearly 500,000 resumes were analyzed for Glassdoor’s report on the 50 Highest Paying College Majors. For a major to be considered, Glassdoor must hold at least 400 distinct resumes as of 10/03/16, in which a job seeker and/or employee has indicated graduating from college with the corresponding major. To determine the median base salary for each major, career progression data, including job titles, within the first five years of work upon graduating from college was analyzed with corresponding salary data, submitted by employees on Glassdoor. To determine the rankings, majors were then sorted by their corresponding median base salary within the first five years upon graduating from college or university.</t>
  </si>
  <si>
    <t>Scraped using Firefox Browser, Retrieved Dec. 26, 2021</t>
  </si>
  <si>
    <r>
      <t xml:space="preserve">Select cell 50BestJobs!C7   </t>
    </r>
    <r>
      <rPr>
        <sz val="11"/>
        <color rgb="FF0070C0"/>
        <rFont val="Calibri"/>
        <family val="2"/>
        <scheme val="minor"/>
      </rPr>
      <t>Excel Home Ribbon &gt; Paste Special &gt; Text</t>
    </r>
  </si>
  <si>
    <t>Entry-Level Jobs</t>
  </si>
  <si>
    <t>Major</t>
  </si>
  <si>
    <t>Decatur</t>
  </si>
  <si>
    <t>County</t>
  </si>
  <si>
    <t>Early</t>
  </si>
  <si>
    <t>Elect Day</t>
  </si>
  <si>
    <t>Advance</t>
  </si>
  <si>
    <t>Absentee</t>
  </si>
  <si>
    <t>Provisional</t>
  </si>
  <si>
    <t>Appling</t>
  </si>
  <si>
    <t>Atkinson</t>
  </si>
  <si>
    <t>Bacon</t>
  </si>
  <si>
    <t>Baker</t>
  </si>
  <si>
    <t>Baldwin</t>
  </si>
  <si>
    <t>Banks</t>
  </si>
  <si>
    <t>Barrow</t>
  </si>
  <si>
    <t>Bartow</t>
  </si>
  <si>
    <t>Ben Hill</t>
  </si>
  <si>
    <t>Berrien</t>
  </si>
  <si>
    <t>Bibb</t>
  </si>
  <si>
    <t>Bleckley</t>
  </si>
  <si>
    <t>Brantley</t>
  </si>
  <si>
    <t>Brooks</t>
  </si>
  <si>
    <t>Bryan</t>
  </si>
  <si>
    <t>Bulloch</t>
  </si>
  <si>
    <t>Burke</t>
  </si>
  <si>
    <t>Butts</t>
  </si>
  <si>
    <t>Calhoun</t>
  </si>
  <si>
    <t>Camden</t>
  </si>
  <si>
    <t>Candler</t>
  </si>
  <si>
    <t>Carroll</t>
  </si>
  <si>
    <t>Catoosa</t>
  </si>
  <si>
    <t>Charlton</t>
  </si>
  <si>
    <t>Chatham</t>
  </si>
  <si>
    <t>Chattahoochee</t>
  </si>
  <si>
    <t>Chattooga</t>
  </si>
  <si>
    <t>Cherokee</t>
  </si>
  <si>
    <t>Clarke</t>
  </si>
  <si>
    <t>Clay</t>
  </si>
  <si>
    <t>Clayton</t>
  </si>
  <si>
    <t>Clinch</t>
  </si>
  <si>
    <t>Cobb</t>
  </si>
  <si>
    <t>Coffee</t>
  </si>
  <si>
    <t>Colquitt</t>
  </si>
  <si>
    <t>Columbia</t>
  </si>
  <si>
    <t>Cook</t>
  </si>
  <si>
    <t>Coweta</t>
  </si>
  <si>
    <t>Crawford</t>
  </si>
  <si>
    <t>Crisp</t>
  </si>
  <si>
    <t>Dade</t>
  </si>
  <si>
    <t>Dawson</t>
  </si>
  <si>
    <t>DeKalb</t>
  </si>
  <si>
    <t>Dodge</t>
  </si>
  <si>
    <t>Dooly</t>
  </si>
  <si>
    <t>Dougherty</t>
  </si>
  <si>
    <t>Douglas</t>
  </si>
  <si>
    <t>Echols</t>
  </si>
  <si>
    <t>Effingham</t>
  </si>
  <si>
    <t>Elbert</t>
  </si>
  <si>
    <t>Emanuel</t>
  </si>
  <si>
    <t>Evans</t>
  </si>
  <si>
    <t>Fannin</t>
  </si>
  <si>
    <t>Fayette</t>
  </si>
  <si>
    <t>Floyd</t>
  </si>
  <si>
    <t>Forsyth</t>
  </si>
  <si>
    <t>Franklin</t>
  </si>
  <si>
    <t>Fulton</t>
  </si>
  <si>
    <t>Gilmer</t>
  </si>
  <si>
    <t>Glascock</t>
  </si>
  <si>
    <t>Glynn</t>
  </si>
  <si>
    <t>Gordon</t>
  </si>
  <si>
    <t>Grady</t>
  </si>
  <si>
    <t>Greene</t>
  </si>
  <si>
    <t>Gwinnett</t>
  </si>
  <si>
    <t>Habersham</t>
  </si>
  <si>
    <t>Hall</t>
  </si>
  <si>
    <t>Hancock</t>
  </si>
  <si>
    <t>Haralson</t>
  </si>
  <si>
    <t>Harris</t>
  </si>
  <si>
    <t>Hart</t>
  </si>
  <si>
    <t>Heard</t>
  </si>
  <si>
    <t>Henry</t>
  </si>
  <si>
    <t>Houston</t>
  </si>
  <si>
    <t>Irwin</t>
  </si>
  <si>
    <t>Jackson</t>
  </si>
  <si>
    <t>Jasper</t>
  </si>
  <si>
    <t>Jeff Davis</t>
  </si>
  <si>
    <t>Jefferson</t>
  </si>
  <si>
    <t>Jenkins</t>
  </si>
  <si>
    <t>Johnson</t>
  </si>
  <si>
    <t>Jones</t>
  </si>
  <si>
    <t>Lamar</t>
  </si>
  <si>
    <t>Lanier</t>
  </si>
  <si>
    <t>Laurens</t>
  </si>
  <si>
    <t>Lee</t>
  </si>
  <si>
    <t>Liberty</t>
  </si>
  <si>
    <t>Lincoln</t>
  </si>
  <si>
    <t>Long</t>
  </si>
  <si>
    <t>Lowndes</t>
  </si>
  <si>
    <t>Lumpkin</t>
  </si>
  <si>
    <t>Macon</t>
  </si>
  <si>
    <t>Madison</t>
  </si>
  <si>
    <t>Marion</t>
  </si>
  <si>
    <t>McDuffie</t>
  </si>
  <si>
    <t>McIntosh</t>
  </si>
  <si>
    <t>Meriwether</t>
  </si>
  <si>
    <t>Miller</t>
  </si>
  <si>
    <t>Mitchell</t>
  </si>
  <si>
    <t>Monroe</t>
  </si>
  <si>
    <t>Montgomery</t>
  </si>
  <si>
    <t>Morgan</t>
  </si>
  <si>
    <t>Murray</t>
  </si>
  <si>
    <t>Muscogee</t>
  </si>
  <si>
    <t>Newton</t>
  </si>
  <si>
    <t>Oconee</t>
  </si>
  <si>
    <t>Oglethorpe</t>
  </si>
  <si>
    <t>Paulding</t>
  </si>
  <si>
    <t>Peach</t>
  </si>
  <si>
    <t>Pickens</t>
  </si>
  <si>
    <t>Pierce</t>
  </si>
  <si>
    <t>Pike</t>
  </si>
  <si>
    <t>Polk</t>
  </si>
  <si>
    <t>Pulaski</t>
  </si>
  <si>
    <t>Putnam</t>
  </si>
  <si>
    <t>Quitman</t>
  </si>
  <si>
    <t>Rabun</t>
  </si>
  <si>
    <t>Randolph</t>
  </si>
  <si>
    <t>Richmond</t>
  </si>
  <si>
    <t>Rockdale</t>
  </si>
  <si>
    <t>Schley</t>
  </si>
  <si>
    <t>Screven</t>
  </si>
  <si>
    <t>Seminole</t>
  </si>
  <si>
    <t>Spalding</t>
  </si>
  <si>
    <t>Stephens</t>
  </si>
  <si>
    <t>Stewart</t>
  </si>
  <si>
    <t>Sumter</t>
  </si>
  <si>
    <t>Talbot</t>
  </si>
  <si>
    <t>Taliaferro</t>
  </si>
  <si>
    <t>Tattnall</t>
  </si>
  <si>
    <t>Taylor</t>
  </si>
  <si>
    <t>Telfair</t>
  </si>
  <si>
    <t>Terrell</t>
  </si>
  <si>
    <t>Thomas</t>
  </si>
  <si>
    <t>Tift</t>
  </si>
  <si>
    <t>Toombs</t>
  </si>
  <si>
    <t>Towns</t>
  </si>
  <si>
    <t>Treutlen</t>
  </si>
  <si>
    <t>Troup</t>
  </si>
  <si>
    <t>Turner</t>
  </si>
  <si>
    <t>Twiggs</t>
  </si>
  <si>
    <t>Union</t>
  </si>
  <si>
    <t>Upson</t>
  </si>
  <si>
    <t>Walker</t>
  </si>
  <si>
    <t>Walton</t>
  </si>
  <si>
    <t>Ware</t>
  </si>
  <si>
    <t>Warren</t>
  </si>
  <si>
    <t>Washington</t>
  </si>
  <si>
    <t>Wayne</t>
  </si>
  <si>
    <t>Webster</t>
  </si>
  <si>
    <t>Wheeler</t>
  </si>
  <si>
    <t>White</t>
  </si>
  <si>
    <t>Whitfield</t>
  </si>
  <si>
    <t>Wilcox</t>
  </si>
  <si>
    <t>Wilkes</t>
  </si>
  <si>
    <t>Wilkinson</t>
  </si>
  <si>
    <t>Worth</t>
  </si>
  <si>
    <t>Registered Voters</t>
  </si>
  <si>
    <t>Biden Total</t>
  </si>
  <si>
    <t>Jorgensen Total</t>
  </si>
  <si>
    <t>Row Labels</t>
  </si>
  <si>
    <t>Grand Total</t>
  </si>
  <si>
    <t>%Absent</t>
  </si>
  <si>
    <t>%Advance</t>
  </si>
  <si>
    <t>%Eday</t>
  </si>
  <si>
    <t>%Biden</t>
  </si>
  <si>
    <t>%Jorgensen</t>
  </si>
  <si>
    <t>%Trump</t>
  </si>
  <si>
    <t>Nov 2020 General Election results from GA Sec of State office: https://results.enr.clarityelections.com/GA/107231/web.264614/#/access-to-races
Accessed Dec 26, 2021</t>
  </si>
  <si>
    <t>Sum of Registered Voters</t>
  </si>
  <si>
    <t>Trump Total</t>
  </si>
  <si>
    <t>DirVer</t>
  </si>
  <si>
    <t>43. Hospitality Management  </t>
  </si>
  <si>
    <t xml:space="preserve">3. Mechanical Engineering </t>
  </si>
  <si>
    <t xml:space="preserve">4. Chemical Engineering </t>
  </si>
  <si>
    <t xml:space="preserve">5. Industrial Engineering </t>
  </si>
  <si>
    <t xml:space="preserve">6. Information Technology </t>
  </si>
  <si>
    <t xml:space="preserve">12. Mathematics </t>
  </si>
  <si>
    <t xml:space="preserve">26. History </t>
  </si>
  <si>
    <t xml:space="preserve">30. Philosophy </t>
  </si>
  <si>
    <t xml:space="preserve">31. Environmental Science </t>
  </si>
  <si>
    <t xml:space="preserve">40. Sports Management </t>
  </si>
  <si>
    <t xml:space="preserve">46. Psychology </t>
  </si>
  <si>
    <t xml:space="preserve">48. Healthcare Administration </t>
  </si>
  <si>
    <t>Median Base Salary: $70,000</t>
  </si>
  <si>
    <t>Popular Entry-Level Jobs: Software Engineer, Systems Engineer, Web Developer</t>
  </si>
  <si>
    <t>Median Base Salary: $68,438</t>
  </si>
  <si>
    <t>Popular Entry-Level Jobs: Electrical Engineer, Systems Engineer, Software Developer</t>
  </si>
  <si>
    <t>Median Base Salary: $68,000</t>
  </si>
  <si>
    <t>Popular Entry-Level Jobs: Mechanical Engineer, Design Engineer, Project Engineer</t>
  </si>
  <si>
    <t>Median Base Salary: $65,000</t>
  </si>
  <si>
    <t>Popular Entry-Level Jobs: Chemical Engineer, Process Engineer, Project Engineer</t>
  </si>
  <si>
    <t>Median Base Salary: $64,381</t>
  </si>
  <si>
    <t>Popular Entry-Level Jobs: Industrial Engineer, Quality Engineer, Production Planner</t>
  </si>
  <si>
    <t>Median Base Salary: $64,008</t>
  </si>
  <si>
    <t>Popular Entry-Level Jobs: Programmer Analyst, Technical Support, Systems Engineer</t>
  </si>
  <si>
    <t>Median Base Salary: $61,500</t>
  </si>
  <si>
    <t xml:space="preserve">Popular Entry-Level Jobs: Civil Engineer, Structural Engineer, Field Engineer </t>
  </si>
  <si>
    <t>Median Base Salary: $60,000</t>
  </si>
  <si>
    <t xml:space="preserve">Popular Entry-Level Jobs: Data Analyst, Statistician, Data Scientist </t>
  </si>
  <si>
    <t>Median Base Salary: $58,928</t>
  </si>
  <si>
    <t>Popular Entry-Level Jobs: Registered Nurse, Licensed Vocational Nurse, Case Manager</t>
  </si>
  <si>
    <t>Median Base Salary: $58,000</t>
  </si>
  <si>
    <t>Popular Entry-Level Jobs: Network Administrator, Help Desk Analyst, Business Analyst</t>
  </si>
  <si>
    <t>Median Base Salary: $54,900</t>
  </si>
  <si>
    <t xml:space="preserve">Popular Entry-Level Jobs: Financial Analyst, Investment Banking Analyst, Accountant </t>
  </si>
  <si>
    <t>Median Base Salary: 54,018</t>
  </si>
  <si>
    <t>Popular Entry-Level Jobs: Math Teacher, Software Engineer, Data Analyst</t>
  </si>
  <si>
    <t>Median Base Salary: $52,814</t>
  </si>
  <si>
    <t xml:space="preserve">Popular Entry-Level Jobs: Biomedical Engineer, Service Engineer, Clinical Research Associate </t>
  </si>
  <si>
    <t>Median Base Salary: $52,000</t>
  </si>
  <si>
    <t>Popular Entry-Level Jobs: Accountant, Auditor, Financial Analyst</t>
  </si>
  <si>
    <t>Popular Entry-Level Jobs: Financial Analyst, Management Analyst, Accountant</t>
  </si>
  <si>
    <t>Median Base Salary: $50,000</t>
  </si>
  <si>
    <t>Popular Entry-Level Jobs: Physicist, Research Fellow, Computer Programmer</t>
  </si>
  <si>
    <t>Popular Entry-Level Jobs: Laboratory Technician, Quality Control Analyst, Research Associate</t>
  </si>
  <si>
    <t xml:space="preserve">Popular Entry-Level Jobs: Architect, CAD Designer, Project Designer </t>
  </si>
  <si>
    <t xml:space="preserve">Popular Entry-Level Jobs: Fashion Designer, Textile Designer, Stylist </t>
  </si>
  <si>
    <t>Median Base Salary: $47,850</t>
  </si>
  <si>
    <t xml:space="preserve">Popular Entry-Level Jobs: Account Manager, Marketing Manager, Market Research Analyst </t>
  </si>
  <si>
    <t>Median Base Salary: $45,880</t>
  </si>
  <si>
    <t>Popular Entry-Level Jobs: Marketing Associate, English Teacher, Research Assistant</t>
  </si>
  <si>
    <t>Median Base Salary: $45,846</t>
  </si>
  <si>
    <t>Popular Entry-Level Jobs: Graphic Designer, Web Designer, Art Manager</t>
  </si>
  <si>
    <t>Median Base Salary: $45,475</t>
  </si>
  <si>
    <t>Popular Entry-Level Jobs: Marketing Coordinator, Account Executive, Marketing Analyst  </t>
  </si>
  <si>
    <t>Median Base Salary: $45,000</t>
  </si>
  <si>
    <t>Popular Entry-Level Jobs: English Teacher, Editor, Copywriter</t>
  </si>
  <si>
    <t>Popular Entry-Level Jobs: Law Clerk, Paralegal, Consultant  </t>
  </si>
  <si>
    <t xml:space="preserve">Popular Entry-Level Jobs: Research Assistant, History Teacher, Teaching Assistant </t>
  </si>
  <si>
    <t xml:space="preserve">Popular Entry-Level Jobs: HR Coordinator, Corporate Recruiter, HR Analyst </t>
  </si>
  <si>
    <t xml:space="preserve">Popular Entry-Level Jobs: Reporter, Editor, Public Relations Coordinator </t>
  </si>
  <si>
    <t>Popular Entry-Level Jobs: Account Executive, Marketing Analyst, Media Planner</t>
  </si>
  <si>
    <t>Popular Entry-Level Jobs: Teaching Assistant, Writer, Consultant  </t>
  </si>
  <si>
    <t xml:space="preserve">Popular Entry-Level Jobs: Environmental Scientist, Laboratory Technician, Safety Manager </t>
  </si>
  <si>
    <t>Popular Entry-Level Jobs: HR Assistant, Management Consultant, Visual Merchandiser</t>
  </si>
  <si>
    <t>Median Base Salary: $44,256</t>
  </si>
  <si>
    <t>Popular Entry-Level Jobs: Spanish Teacher, Spanish Translator, Project Manager</t>
  </si>
  <si>
    <t xml:space="preserve">Median Base Salary: $44,190 </t>
  </si>
  <si>
    <t>Popular Entry-Level Jobs: Public Relations Coordinator, Journalist, Content Marketing Manager</t>
  </si>
  <si>
    <t xml:space="preserve">Median Base Salary: $44,098 </t>
  </si>
  <si>
    <t>Popular Entry-Level Jobs: Interior Designer, Visual Merchandiser, Drafter</t>
  </si>
  <si>
    <t xml:space="preserve">Median Base Salary: $44,000 </t>
  </si>
  <si>
    <t>Popular Entry-Level Jobs: Pharmacy Technician, Chemist, Laboratory Technician</t>
  </si>
  <si>
    <t>Median Base Salary: $44,000</t>
  </si>
  <si>
    <t>Popular Entry-Level Jobs: Music Teacher, Audio Engineer, Media Sales</t>
  </si>
  <si>
    <t>Popular Entry-Level Jobs: Production Coordinator, Video Editor, Proposal Manager</t>
  </si>
  <si>
    <t>Median Base Salary: $43,156</t>
  </si>
  <si>
    <t>Popular Entry-Level Jobs: Public Relations Coordinator, Account Executive, Event Planner</t>
  </si>
  <si>
    <t xml:space="preserve">Median Base Salary: $43,156 </t>
  </si>
  <si>
    <t>Popular Entry-Level Jobs: Personal Trainer, Sales Associate, Production Assistant  </t>
  </si>
  <si>
    <t xml:space="preserve">Median Base Salary: $43,000 </t>
  </si>
  <si>
    <t>Popular Entry-Level Jobs: Special Education Teacher, Elementary School Teacher, Language Arts Teacher</t>
  </si>
  <si>
    <t>Popular Entry-Level Jobs: Project Coordinator, Research Assistant, Administrative Assistant  </t>
  </si>
  <si>
    <t>Median Base Salary: $42,734</t>
  </si>
  <si>
    <t>Popular Entry-Level Jobs: Food and Beverage Manager, Front Desk Manager, Housekeeping Manager</t>
  </si>
  <si>
    <t xml:space="preserve">Median Base Salary: $42,672 </t>
  </si>
  <si>
    <t>Popular Entry-Level Jobs: Research Technician, Pharmacy Technician, Chemist</t>
  </si>
  <si>
    <t xml:space="preserve">Median Base Salary: $42,500 </t>
  </si>
  <si>
    <t>Popular Entry-Level Jobs: Sales Manager, Receptionist, Teacher</t>
  </si>
  <si>
    <t>Median Base Salary: $42,000</t>
  </si>
  <si>
    <t>Popular Entry-Level Jobs: Case Manager, Mental Health Counselor, Sales Associate</t>
  </si>
  <si>
    <t xml:space="preserve">Median Base Salary: $42,000 </t>
  </si>
  <si>
    <t>Popular Entry-Level Jobs: HR Assistant, Account Manager, Administrative Assistant  </t>
  </si>
  <si>
    <t>Popular Entry-Level Jobs: Medical Assistant, File Clerk, Office Manager</t>
  </si>
  <si>
    <t>Median Base Salary: $41,656</t>
  </si>
  <si>
    <t xml:space="preserve">Popular Entry-Level Jobs: Social Worker, Mental Health Counselor, Camp Counselor </t>
  </si>
  <si>
    <t>Median Base Salary: $41,250</t>
  </si>
  <si>
    <t>Popular Entry-Level Jobs: Lab Assistant, Paramedic, Tutor</t>
  </si>
  <si>
    <t xml:space="preserve"> </t>
  </si>
  <si>
    <t>Task 3b Check</t>
  </si>
  <si>
    <r>
      <t xml:space="preserve">Student Identification Sheet </t>
    </r>
    <r>
      <rPr>
        <sz val="11"/>
        <color theme="0" tint="-0.14999847407452621"/>
        <rFont val="Calibri"/>
        <family val="2"/>
        <scheme val="minor"/>
      </rPr>
      <t>(version8.2)</t>
    </r>
  </si>
  <si>
    <t>Kurt Schmitz © 2025  Do not post or reproduce.</t>
  </si>
  <si>
    <t>Spring 2025</t>
  </si>
  <si>
    <t>Article published October 17, 2016 and updated July 2018</t>
  </si>
  <si>
    <t>Kike Otufale</t>
  </si>
  <si>
    <t>002699858</t>
  </si>
  <si>
    <t>Welcome to Microsoft Excel version 16.93 build 119 running on Macintosh (Intel) Version 13.7.1 (Build 22H221)!</t>
  </si>
  <si>
    <t>Microsoft Office User</t>
  </si>
  <si>
    <t>S07</t>
  </si>
  <si>
    <t>Start S07</t>
  </si>
  <si>
    <t>Kike Otufale started S07</t>
  </si>
  <si>
    <t xml:space="preserve"> Software Engineer, Systems Engineer, Web Developer</t>
  </si>
  <si>
    <t xml:space="preserve"> Electrical Engineer, Systems Engineer, Software Developer</t>
  </si>
  <si>
    <t xml:space="preserve"> Mechanical Engineer, Design Engineer, Project Engineer</t>
  </si>
  <si>
    <t xml:space="preserve"> Chemical Engineer, Process Engineer, Project Engineer</t>
  </si>
  <si>
    <t xml:space="preserve"> Industrial Engineer, Quality Engineer, Production Planner</t>
  </si>
  <si>
    <t xml:space="preserve"> Programmer Analyst, Technical Support, Systems Engineer</t>
  </si>
  <si>
    <t xml:space="preserve"> Civil Engineer, Structural Engineer, Field Engineer </t>
  </si>
  <si>
    <t xml:space="preserve"> Data Analyst, Statistician, Data Scientist </t>
  </si>
  <si>
    <t xml:space="preserve"> Registered Nurse, Licensed Vocational Nurse, Case Manager</t>
  </si>
  <si>
    <t xml:space="preserve"> Network Administrator, Help Desk Analyst, Business Analyst</t>
  </si>
  <si>
    <t xml:space="preserve"> Financial Analyst, Investment Banking Analyst, Accountant </t>
  </si>
  <si>
    <t xml:space="preserve"> Math Teacher, Software Engineer, Data Analyst</t>
  </si>
  <si>
    <t xml:space="preserve"> Biomedical Engineer, Service Engineer, Clinical Research Associate </t>
  </si>
  <si>
    <t xml:space="preserve"> Accountant, Auditor, Financial Analyst</t>
  </si>
  <si>
    <t xml:space="preserve"> Financial Analyst, Management Analyst, Accountant</t>
  </si>
  <si>
    <t xml:space="preserve"> Physicist, Research Fellow, Computer Programmer</t>
  </si>
  <si>
    <t xml:space="preserve"> Laboratory Technician, Quality Control Analyst, Research Associate</t>
  </si>
  <si>
    <t xml:space="preserve"> Architect, CAD Designer, Project Designer </t>
  </si>
  <si>
    <t xml:space="preserve"> Fashion Designer, Textile Designer, Stylist </t>
  </si>
  <si>
    <t xml:space="preserve"> Account Manager, Marketing Manager, Market Research Analyst </t>
  </si>
  <si>
    <t xml:space="preserve"> Marketing Associate, English Teacher, Research Assistant</t>
  </si>
  <si>
    <t xml:space="preserve"> Graphic Designer, Web Designer, Art Manager</t>
  </si>
  <si>
    <t xml:space="preserve"> Marketing Coordinator, Account Executive, Marketing Analyst  </t>
  </si>
  <si>
    <t xml:space="preserve"> English Teacher, Editor, Copywriter</t>
  </si>
  <si>
    <t xml:space="preserve"> Law Clerk, Paralegal, Consultant  </t>
  </si>
  <si>
    <t xml:space="preserve"> Research Assistant, History Teacher, Teaching Assistant </t>
  </si>
  <si>
    <t xml:space="preserve"> HR Coordinator, Corporate Recruiter, HR Analyst </t>
  </si>
  <si>
    <t xml:space="preserve"> Reporter, Editor, Public Relations Coordinator </t>
  </si>
  <si>
    <t xml:space="preserve"> Account Executive, Marketing Analyst, Media Planner</t>
  </si>
  <si>
    <t xml:space="preserve"> Teaching Assistant, Writer, Consultant  </t>
  </si>
  <si>
    <t xml:space="preserve"> Environmental Scientist, Laboratory Technician, Safety Manager </t>
  </si>
  <si>
    <t xml:space="preserve"> HR Assistant, Management Consultant, Visual Merchandiser</t>
  </si>
  <si>
    <t xml:space="preserve"> Spanish Teacher, Spanish Translator, Project Manager</t>
  </si>
  <si>
    <t xml:space="preserve"> Public Relations Coordinator, Journalist, Content Marketing Manager</t>
  </si>
  <si>
    <t xml:space="preserve"> Interior Designer, Visual Merchandiser, Drafter</t>
  </si>
  <si>
    <t xml:space="preserve"> Pharmacy Technician, Chemist, Laboratory Technician</t>
  </si>
  <si>
    <t xml:space="preserve"> Music Teacher, Audio Engineer, Media Sales</t>
  </si>
  <si>
    <t xml:space="preserve"> Production Coordinator, Video Editor, Proposal Manager</t>
  </si>
  <si>
    <t xml:space="preserve"> Public Relations Coordinator, Account Executive, Event Planner</t>
  </si>
  <si>
    <t xml:space="preserve"> Personal Trainer, Sales Associate, Production Assistant  </t>
  </si>
  <si>
    <t xml:space="preserve"> Special Education Teacher, Elementary School Teacher, Language Arts Teacher</t>
  </si>
  <si>
    <t xml:space="preserve"> Project Coordinator, Research Assistant, Administrative Assistant  </t>
  </si>
  <si>
    <t xml:space="preserve"> Food and Beverage Manager, Front Desk Manager, Housekeeping Manager</t>
  </si>
  <si>
    <t xml:space="preserve"> Research Technician, Pharmacy Technician, Chemist</t>
  </si>
  <si>
    <t xml:space="preserve"> Sales Manager, Receptionist, Teacher</t>
  </si>
  <si>
    <t xml:space="preserve"> Case Manager, Mental Health Counselor, Sales Associate</t>
  </si>
  <si>
    <t xml:space="preserve"> HR Assistant, Account Manager, Administrative Assistant  </t>
  </si>
  <si>
    <t xml:space="preserve"> Medical Assistant, File Clerk, Office Manager</t>
  </si>
  <si>
    <t xml:space="preserve"> Social Worker, Mental Health Counselor, Camp Counselor </t>
  </si>
  <si>
    <t> Lab Assistant, Paramedic, Tutor</t>
  </si>
  <si>
    <t xml:space="preserve"> Computer Science</t>
  </si>
  <si>
    <t xml:space="preserve"> Electrical Engineering</t>
  </si>
  <si>
    <t xml:space="preserve"> Mechanical Engineering </t>
  </si>
  <si>
    <t xml:space="preserve"> Chemical Engineering </t>
  </si>
  <si>
    <t xml:space="preserve"> Industrial Engineering </t>
  </si>
  <si>
    <t xml:space="preserve"> Information Technology </t>
  </si>
  <si>
    <t xml:space="preserve"> Civil Engineering</t>
  </si>
  <si>
    <t xml:space="preserve"> Statistics</t>
  </si>
  <si>
    <t xml:space="preserve"> Nursing</t>
  </si>
  <si>
    <t xml:space="preserve"> Management Information Systems</t>
  </si>
  <si>
    <t xml:space="preserve"> Finance</t>
  </si>
  <si>
    <t xml:space="preserve"> Mathematics </t>
  </si>
  <si>
    <t xml:space="preserve"> Biomedical Engineering</t>
  </si>
  <si>
    <t xml:space="preserve"> Accounting</t>
  </si>
  <si>
    <t xml:space="preserve"> Economics</t>
  </si>
  <si>
    <t xml:space="preserve"> Physics</t>
  </si>
  <si>
    <t xml:space="preserve"> Biotechnology</t>
  </si>
  <si>
    <t xml:space="preserve"> Architecture</t>
  </si>
  <si>
    <t xml:space="preserve"> Fashion Design</t>
  </si>
  <si>
    <t xml:space="preserve"> Business</t>
  </si>
  <si>
    <t xml:space="preserve"> International Relations</t>
  </si>
  <si>
    <t xml:space="preserve"> Graphic Design</t>
  </si>
  <si>
    <t xml:space="preserve"> Marketing</t>
  </si>
  <si>
    <t xml:space="preserve"> English</t>
  </si>
  <si>
    <t xml:space="preserve"> Political Science</t>
  </si>
  <si>
    <t xml:space="preserve"> History </t>
  </si>
  <si>
    <t xml:space="preserve"> Human Resources</t>
  </si>
  <si>
    <t xml:space="preserve"> Journalism</t>
  </si>
  <si>
    <t xml:space="preserve"> Advertising</t>
  </si>
  <si>
    <t xml:space="preserve"> Philosophy </t>
  </si>
  <si>
    <t xml:space="preserve"> Environmental Science </t>
  </si>
  <si>
    <t xml:space="preserve"> Social Science</t>
  </si>
  <si>
    <t xml:space="preserve"> Spanish</t>
  </si>
  <si>
    <t xml:space="preserve"> Communications</t>
  </si>
  <si>
    <t xml:space="preserve"> Interior Design</t>
  </si>
  <si>
    <t xml:space="preserve"> Chemistry</t>
  </si>
  <si>
    <t xml:space="preserve"> Music</t>
  </si>
  <si>
    <t xml:space="preserve"> Film Studies</t>
  </si>
  <si>
    <t xml:space="preserve"> Public Relations</t>
  </si>
  <si>
    <t xml:space="preserve"> Sports Management </t>
  </si>
  <si>
    <t xml:space="preserve"> Education</t>
  </si>
  <si>
    <t xml:space="preserve"> Anthropology</t>
  </si>
  <si>
    <t xml:space="preserve"> Hospitality Management  </t>
  </si>
  <si>
    <t xml:space="preserve"> Biochemistry</t>
  </si>
  <si>
    <t xml:space="preserve"> Liberal Arts</t>
  </si>
  <si>
    <t xml:space="preserve"> Psychology </t>
  </si>
  <si>
    <t xml:space="preserve"> Sociology</t>
  </si>
  <si>
    <t xml:space="preserve"> Healthcare Administration </t>
  </si>
  <si>
    <t xml:space="preserve"> Social Work</t>
  </si>
  <si>
    <t xml:space="preserve"> Biology</t>
  </si>
  <si>
    <t>Sum of %Eday</t>
  </si>
  <si>
    <t>Sum of %Advance</t>
  </si>
  <si>
    <t>Sum of %Absent</t>
  </si>
  <si>
    <t>Sum of Biden Total</t>
  </si>
  <si>
    <t>Sum of Trump 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</si>
</sst>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6" formatCode="&quot;$&quot;#,##0_);[Red]\(&quot;$&quot;#,##0\)"/>
    <numFmt numFmtId="43" formatCode="_(* #,##0.00_);_(* \(#,##0.00\);_(* &quot;-&quot;??_);_(@_)"/>
    <numFmt numFmtId="164" formatCode="[$-409]m/d/yy\ h:mm\ AM/PM;@"/>
    <numFmt numFmtId="165" formatCode="mmm\-dd\ hh:mm"/>
    <numFmt numFmtId="166" formatCode="dd\-mmm\ hh:mm"/>
    <numFmt numFmtId="167" formatCode="_(* #,##0_);_(* \(#,##0\);_(* &quot;-&quot;??_);_(@_)"/>
    <numFmt numFmtId="168" formatCode="0.0%"/>
    <numFmt numFmtId="169" formatCode="dd\-mmm\-yyyy\ hh:mm"/>
    <numFmt numFmtId="170" formatCode="&quot;$&quot;#,##0"/>
  </numFmts>
  <fonts count="36" x14ac:knownFonts="1">
    <font>
      <sz val="11"/>
      <color theme="1"/>
      <name val="Calibri"/>
      <family val="2"/>
      <scheme val="minor"/>
    </font>
    <font>
      <sz val="11"/>
      <color theme="0"/>
      <name val="Calibri"/>
      <family val="2"/>
      <scheme val="minor"/>
    </font>
    <font>
      <sz val="11"/>
      <name val="Calibri"/>
      <family val="2"/>
      <scheme val="minor"/>
    </font>
    <font>
      <sz val="11"/>
      <color rgb="FFC00000"/>
      <name val="Calibri"/>
      <family val="2"/>
      <scheme val="minor"/>
    </font>
    <font>
      <i/>
      <sz val="11"/>
      <color rgb="FFC00000"/>
      <name val="Calibri"/>
      <family val="2"/>
      <scheme val="minor"/>
    </font>
    <font>
      <i/>
      <sz val="11"/>
      <color rgb="FFFF0000"/>
      <name val="Calibri"/>
      <family val="2"/>
      <scheme val="minor"/>
    </font>
    <font>
      <u/>
      <sz val="11"/>
      <color theme="10"/>
      <name val="Calibri"/>
      <family val="2"/>
      <scheme val="minor"/>
    </font>
    <font>
      <u/>
      <sz val="11"/>
      <color theme="11"/>
      <name val="Calibri"/>
      <family val="2"/>
      <scheme val="minor"/>
    </font>
    <font>
      <sz val="11"/>
      <color theme="0" tint="-0.14999847407452621"/>
      <name val="Calibri"/>
      <family val="2"/>
      <scheme val="minor"/>
    </font>
    <font>
      <b/>
      <sz val="11"/>
      <color rgb="FFC00000"/>
      <name val="Calibri"/>
      <family val="2"/>
      <scheme val="minor"/>
    </font>
    <font>
      <sz val="12"/>
      <color theme="1"/>
      <name val="Calibri"/>
      <family val="2"/>
      <scheme val="minor"/>
    </font>
    <font>
      <sz val="11"/>
      <color rgb="FFFF0000"/>
      <name val="Calibri"/>
      <family val="2"/>
      <scheme val="minor"/>
    </font>
    <font>
      <sz val="11"/>
      <color theme="9" tint="0.39997558519241921"/>
      <name val="Calibri"/>
      <family val="2"/>
      <scheme val="minor"/>
    </font>
    <font>
      <sz val="11"/>
      <color theme="5" tint="-0.249977111117893"/>
      <name val="Calibri"/>
      <family val="2"/>
      <scheme val="minor"/>
    </font>
    <font>
      <i/>
      <sz val="11"/>
      <color theme="1"/>
      <name val="Calibri"/>
      <family val="2"/>
      <scheme val="minor"/>
    </font>
    <font>
      <sz val="11"/>
      <color rgb="FF00B050"/>
      <name val="Calibri"/>
      <family val="2"/>
      <scheme val="minor"/>
    </font>
    <font>
      <i/>
      <sz val="11"/>
      <color theme="5" tint="-0.499984740745262"/>
      <name val="Calibri"/>
      <family val="2"/>
      <scheme val="minor"/>
    </font>
    <font>
      <sz val="11"/>
      <color rgb="FF0070C0"/>
      <name val="Calibri"/>
      <family val="2"/>
      <scheme val="minor"/>
    </font>
    <font>
      <i/>
      <sz val="11"/>
      <color rgb="FF0070C0"/>
      <name val="Calibri"/>
      <family val="2"/>
      <scheme val="minor"/>
    </font>
    <font>
      <sz val="11"/>
      <color theme="1"/>
      <name val="Bell MT"/>
      <family val="1"/>
    </font>
    <font>
      <sz val="14"/>
      <color theme="1"/>
      <name val="Century Schoolbook"/>
      <family val="1"/>
    </font>
    <font>
      <b/>
      <sz val="11"/>
      <color theme="9" tint="-0.499984740745262"/>
      <name val="Calibri"/>
      <family val="2"/>
      <scheme val="minor"/>
    </font>
    <font>
      <i/>
      <sz val="10"/>
      <color theme="7" tint="-0.499984740745262"/>
      <name val="Calibri"/>
      <family val="2"/>
      <scheme val="minor"/>
    </font>
    <font>
      <sz val="10"/>
      <color theme="7" tint="-0.499984740745262"/>
      <name val="Calibri"/>
      <family val="2"/>
      <scheme val="minor"/>
    </font>
    <font>
      <sz val="11"/>
      <color rgb="FF00B0F0"/>
      <name val="Calibri"/>
      <family val="2"/>
      <scheme val="minor"/>
    </font>
    <font>
      <sz val="11"/>
      <color theme="0" tint="-0.499984740745262"/>
      <name val="Calibri"/>
      <family val="2"/>
      <scheme val="minor"/>
    </font>
    <font>
      <b/>
      <i/>
      <sz val="11"/>
      <color theme="0" tint="-0.499984740745262"/>
      <name val="Calibri"/>
      <family val="2"/>
      <scheme val="minor"/>
    </font>
    <font>
      <b/>
      <sz val="11"/>
      <color theme="1"/>
      <name val="Calibri"/>
      <family val="2"/>
      <scheme val="minor"/>
    </font>
    <font>
      <sz val="11"/>
      <color theme="1"/>
      <name val="Calibri"/>
      <family val="2"/>
      <scheme val="minor"/>
    </font>
    <font>
      <i/>
      <sz val="11"/>
      <color rgb="FF7030A0"/>
      <name val="Calibri"/>
      <family val="2"/>
      <scheme val="minor"/>
    </font>
    <font>
      <b/>
      <sz val="14"/>
      <color rgb="FF505863"/>
      <name val="Calibri"/>
      <family val="2"/>
      <scheme val="minor"/>
    </font>
    <font>
      <i/>
      <sz val="11"/>
      <color theme="5"/>
      <name val="Calibri"/>
      <family val="2"/>
      <scheme val="minor"/>
    </font>
    <font>
      <b/>
      <sz val="11"/>
      <color rgb="FF0000FF"/>
      <name val="Calibri"/>
      <family val="2"/>
      <scheme val="minor"/>
    </font>
    <font>
      <i/>
      <sz val="11"/>
      <color theme="0" tint="-0.499984740745262"/>
      <name val="Calibri"/>
      <family val="2"/>
      <scheme val="minor"/>
    </font>
    <font>
      <sz val="11"/>
      <color rgb="FF92D050"/>
      <name val="Calibri"/>
      <family val="2"/>
      <scheme val="minor"/>
    </font>
    <font>
      <sz val="12"/>
      <color rgb="FF000000"/>
      <name val="System Font"/>
      <charset val="1"/>
    </font>
  </fonts>
  <fills count="9">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6" tint="0.59999389629810485"/>
        <bgColor indexed="64"/>
      </patternFill>
    </fill>
  </fills>
  <borders count="2">
    <border>
      <left/>
      <right/>
      <top/>
      <bottom/>
      <diagonal/>
    </border>
    <border>
      <left style="medium">
        <color auto="1"/>
      </left>
      <right style="medium">
        <color auto="1"/>
      </right>
      <top style="medium">
        <color auto="1"/>
      </top>
      <bottom style="medium">
        <color auto="1"/>
      </bottom>
      <diagonal/>
    </border>
  </borders>
  <cellStyleXfs count="97">
    <xf numFmtId="0" fontId="0" fillId="0" borderId="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10" fillId="0" borderId="0"/>
    <xf numFmtId="43" fontId="10" fillId="0" borderId="0" applyFont="0" applyFill="0" applyBorder="0" applyAlignment="0" applyProtection="0"/>
    <xf numFmtId="9" fontId="10" fillId="0" borderId="0" applyFont="0" applyFill="0" applyBorder="0" applyAlignment="0" applyProtection="0"/>
    <xf numFmtId="0" fontId="6" fillId="0" borderId="0" applyNumberFormat="0" applyFill="0" applyBorder="0" applyAlignment="0" applyProtection="0"/>
    <xf numFmtId="43" fontId="28" fillId="0" borderId="0" applyFont="0" applyFill="0" applyBorder="0" applyAlignment="0" applyProtection="0"/>
    <xf numFmtId="9" fontId="28" fillId="0" borderId="0" applyFont="0" applyFill="0" applyBorder="0" applyAlignment="0" applyProtection="0"/>
  </cellStyleXfs>
  <cellXfs count="77">
    <xf numFmtId="0" fontId="0" fillId="0" borderId="0" xfId="0"/>
    <xf numFmtId="0" fontId="1" fillId="0" borderId="0" xfId="0" applyFont="1"/>
    <xf numFmtId="0" fontId="2" fillId="0" borderId="0" xfId="0" applyFont="1"/>
    <xf numFmtId="165" fontId="2" fillId="0" borderId="0" xfId="0" applyNumberFormat="1" applyFont="1"/>
    <xf numFmtId="0" fontId="5" fillId="0" borderId="0" xfId="0" applyFont="1"/>
    <xf numFmtId="165" fontId="1" fillId="0" borderId="0" xfId="0" applyNumberFormat="1" applyFont="1"/>
    <xf numFmtId="164" fontId="1" fillId="0" borderId="0" xfId="0" applyNumberFormat="1" applyFont="1"/>
    <xf numFmtId="165" fontId="0" fillId="0" borderId="0" xfId="0" applyNumberFormat="1"/>
    <xf numFmtId="0" fontId="0" fillId="0" borderId="0" xfId="0" quotePrefix="1" applyAlignment="1">
      <alignment horizontal="right" vertical="center"/>
    </xf>
    <xf numFmtId="0" fontId="0" fillId="0" borderId="0" xfId="0" applyAlignment="1">
      <alignment vertical="center"/>
    </xf>
    <xf numFmtId="0" fontId="0" fillId="0" borderId="0" xfId="0" quotePrefix="1" applyAlignment="1">
      <alignment horizontal="center" vertical="center"/>
    </xf>
    <xf numFmtId="0" fontId="14" fillId="0" borderId="0" xfId="0" applyFont="1" applyAlignment="1">
      <alignment vertical="center"/>
    </xf>
    <xf numFmtId="0" fontId="9" fillId="0" borderId="0" xfId="0" quotePrefix="1" applyFont="1" applyAlignment="1">
      <alignment horizontal="center" vertical="center"/>
    </xf>
    <xf numFmtId="0" fontId="9" fillId="0" borderId="0" xfId="0" applyFont="1" applyAlignment="1">
      <alignment vertical="center" wrapText="1"/>
    </xf>
    <xf numFmtId="166" fontId="0" fillId="0" borderId="0" xfId="0" applyNumberFormat="1" applyAlignment="1">
      <alignment horizontal="left"/>
    </xf>
    <xf numFmtId="0" fontId="0" fillId="0" borderId="0" xfId="0" applyAlignment="1">
      <alignment horizontal="right"/>
    </xf>
    <xf numFmtId="165" fontId="0" fillId="0" borderId="0" xfId="0" applyNumberFormat="1" applyAlignment="1">
      <alignment horizontal="left"/>
    </xf>
    <xf numFmtId="0" fontId="12" fillId="0" borderId="0" xfId="0" applyFont="1"/>
    <xf numFmtId="0" fontId="13" fillId="0" borderId="0" xfId="0" applyFont="1"/>
    <xf numFmtId="165" fontId="4" fillId="0" borderId="0" xfId="0" applyNumberFormat="1" applyFont="1" applyAlignment="1">
      <alignment horizontal="left"/>
    </xf>
    <xf numFmtId="164" fontId="2" fillId="0" borderId="0" xfId="0" applyNumberFormat="1" applyFont="1"/>
    <xf numFmtId="0" fontId="3" fillId="0" borderId="0" xfId="0" applyFont="1"/>
    <xf numFmtId="164" fontId="0" fillId="2" borderId="1" xfId="0" applyNumberFormat="1" applyFill="1" applyBorder="1"/>
    <xf numFmtId="0" fontId="1" fillId="0" borderId="0" xfId="0" applyFont="1" applyAlignment="1">
      <alignment horizontal="right"/>
    </xf>
    <xf numFmtId="0" fontId="0" fillId="0" borderId="0" xfId="0" applyAlignment="1">
      <alignment horizontal="left"/>
    </xf>
    <xf numFmtId="0" fontId="0" fillId="0" borderId="0" xfId="0" applyAlignment="1">
      <alignment horizontal="left" vertical="center" wrapText="1"/>
    </xf>
    <xf numFmtId="0" fontId="19" fillId="0" borderId="0" xfId="0" applyFont="1" applyAlignment="1">
      <alignment vertical="center"/>
    </xf>
    <xf numFmtId="0" fontId="20" fillId="0" borderId="0" xfId="0" applyFont="1" applyAlignment="1">
      <alignment vertical="center"/>
    </xf>
    <xf numFmtId="0" fontId="18" fillId="0" borderId="1" xfId="0" applyFont="1" applyBorder="1" applyAlignment="1">
      <alignment horizontal="center" vertical="center"/>
    </xf>
    <xf numFmtId="0" fontId="21" fillId="0" borderId="0" xfId="0" applyFont="1"/>
    <xf numFmtId="49" fontId="6" fillId="0" borderId="0" xfId="94" applyNumberFormat="1"/>
    <xf numFmtId="49" fontId="0" fillId="0" borderId="0" xfId="0" applyNumberFormat="1"/>
    <xf numFmtId="0" fontId="0" fillId="0" borderId="0" xfId="0" applyAlignment="1">
      <alignment wrapText="1"/>
    </xf>
    <xf numFmtId="0" fontId="22" fillId="0" borderId="0" xfId="0" applyFont="1"/>
    <xf numFmtId="0" fontId="23" fillId="0" borderId="0" xfId="0" applyFont="1" applyAlignment="1">
      <alignment horizontal="center" vertical="center"/>
    </xf>
    <xf numFmtId="0" fontId="0" fillId="4" borderId="0" xfId="0" applyFill="1" applyAlignment="1">
      <alignment horizontal="center"/>
    </xf>
    <xf numFmtId="0" fontId="0" fillId="0" borderId="0" xfId="0" applyAlignment="1">
      <alignment horizontal="center"/>
    </xf>
    <xf numFmtId="0" fontId="0" fillId="0" borderId="0" xfId="0" quotePrefix="1" applyAlignment="1">
      <alignment horizontal="center"/>
    </xf>
    <xf numFmtId="0" fontId="0" fillId="5" borderId="0" xfId="0" applyFill="1" applyAlignment="1">
      <alignment horizontal="center"/>
    </xf>
    <xf numFmtId="0" fontId="24" fillId="5" borderId="0" xfId="0" applyFont="1" applyFill="1" applyAlignment="1">
      <alignment horizontal="center"/>
    </xf>
    <xf numFmtId="0" fontId="0" fillId="4" borderId="0" xfId="0" quotePrefix="1" applyFill="1" applyAlignment="1">
      <alignment horizontal="center"/>
    </xf>
    <xf numFmtId="0" fontId="11" fillId="5" borderId="0" xfId="0" applyFont="1" applyFill="1" applyAlignment="1">
      <alignment horizontal="center"/>
    </xf>
    <xf numFmtId="0" fontId="15" fillId="5" borderId="0" xfId="0" applyFont="1" applyFill="1" applyAlignment="1">
      <alignment horizontal="center"/>
    </xf>
    <xf numFmtId="0" fontId="25" fillId="0" borderId="0" xfId="0" applyFont="1"/>
    <xf numFmtId="0" fontId="26" fillId="0" borderId="0" xfId="0" applyFont="1" applyAlignment="1">
      <alignment wrapText="1"/>
    </xf>
    <xf numFmtId="0" fontId="1" fillId="0" borderId="0" xfId="0" applyFont="1" applyProtection="1">
      <protection locked="0"/>
    </xf>
    <xf numFmtId="49" fontId="0" fillId="3" borderId="1" xfId="0" applyNumberFormat="1" applyFill="1" applyBorder="1"/>
    <xf numFmtId="0" fontId="6" fillId="0" borderId="0" xfId="94"/>
    <xf numFmtId="0" fontId="29" fillId="0" borderId="0" xfId="0" applyFont="1"/>
    <xf numFmtId="0" fontId="0" fillId="6" borderId="0" xfId="0" applyFill="1"/>
    <xf numFmtId="167" fontId="0" fillId="0" borderId="0" xfId="95" applyNumberFormat="1" applyFont="1" applyFill="1"/>
    <xf numFmtId="0" fontId="0" fillId="6" borderId="0" xfId="0" applyFill="1" applyAlignment="1">
      <alignment horizontal="right"/>
    </xf>
    <xf numFmtId="0" fontId="0" fillId="7" borderId="0" xfId="0" applyFill="1"/>
    <xf numFmtId="0" fontId="0" fillId="7" borderId="0" xfId="0" applyFill="1" applyAlignment="1">
      <alignment horizontal="right"/>
    </xf>
    <xf numFmtId="0" fontId="0" fillId="8" borderId="0" xfId="0" applyFill="1"/>
    <xf numFmtId="0" fontId="0" fillId="8" borderId="0" xfId="0" applyFill="1" applyAlignment="1">
      <alignment horizontal="right"/>
    </xf>
    <xf numFmtId="0" fontId="0" fillId="0" borderId="0" xfId="0" pivotButton="1"/>
    <xf numFmtId="168" fontId="0" fillId="0" borderId="0" xfId="96" applyNumberFormat="1" applyFont="1" applyFill="1" applyAlignment="1">
      <alignment horizontal="right"/>
    </xf>
    <xf numFmtId="168" fontId="0" fillId="6" borderId="0" xfId="96" applyNumberFormat="1" applyFont="1" applyFill="1" applyAlignment="1">
      <alignment horizontal="right"/>
    </xf>
    <xf numFmtId="168" fontId="0" fillId="2" borderId="0" xfId="96" applyNumberFormat="1" applyFont="1" applyFill="1" applyAlignment="1">
      <alignment horizontal="right"/>
    </xf>
    <xf numFmtId="168" fontId="0" fillId="7" borderId="0" xfId="96" applyNumberFormat="1" applyFont="1" applyFill="1" applyAlignment="1">
      <alignment horizontal="right"/>
    </xf>
    <xf numFmtId="0" fontId="0" fillId="0" borderId="0" xfId="95" applyNumberFormat="1" applyFont="1" applyBorder="1"/>
    <xf numFmtId="0" fontId="1" fillId="0" borderId="0" xfId="95" applyNumberFormat="1" applyFont="1" applyBorder="1"/>
    <xf numFmtId="0" fontId="17" fillId="0" borderId="0" xfId="0" applyFont="1"/>
    <xf numFmtId="169" fontId="2" fillId="0" borderId="0" xfId="0" applyNumberFormat="1" applyFont="1"/>
    <xf numFmtId="6" fontId="0" fillId="0" borderId="0" xfId="0" applyNumberFormat="1"/>
    <xf numFmtId="3" fontId="0" fillId="0" borderId="0" xfId="0" applyNumberFormat="1"/>
    <xf numFmtId="0" fontId="30" fillId="0" borderId="0" xfId="0" applyFont="1" applyAlignment="1">
      <alignment vertical="center"/>
    </xf>
    <xf numFmtId="0" fontId="30" fillId="0" borderId="0" xfId="0" applyFont="1" applyAlignment="1">
      <alignment horizontal="left" vertical="center"/>
    </xf>
    <xf numFmtId="0" fontId="31" fillId="0" borderId="0" xfId="0" applyFont="1"/>
    <xf numFmtId="0" fontId="32" fillId="0" borderId="0" xfId="0" applyFont="1"/>
    <xf numFmtId="165" fontId="33" fillId="0" borderId="0" xfId="0" applyNumberFormat="1" applyFont="1" applyAlignment="1">
      <alignment horizontal="left"/>
    </xf>
    <xf numFmtId="0" fontId="34" fillId="0" borderId="0" xfId="0" applyFont="1" applyAlignment="1">
      <alignment horizontal="center" vertical="center"/>
    </xf>
    <xf numFmtId="170" fontId="0" fillId="0" borderId="0" xfId="0" applyNumberFormat="1"/>
    <xf numFmtId="0" fontId="11" fillId="0" borderId="0" xfId="0" applyFont="1" applyAlignment="1">
      <alignment horizontal="center" vertical="center" wrapText="1"/>
    </xf>
    <xf numFmtId="0" fontId="0" fillId="0" borderId="0" xfId="0" applyAlignment="1">
      <alignment horizontal="left" vertical="top" wrapText="1"/>
    </xf>
    <xf numFmtId="0" fontId="0" fillId="0" borderId="0" xfId="0" applyNumberFormat="1"/>
  </cellXfs>
  <cellStyles count="97">
    <cellStyle name="Comma" xfId="95" builtinId="3"/>
    <cellStyle name="Comma 2" xfId="92" xr:uid="{00000000-0005-0000-0000-00000000000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4" builtinId="8"/>
    <cellStyle name="Normal" xfId="0" builtinId="0"/>
    <cellStyle name="Normal 2" xfId="91" xr:uid="{00000000-0005-0000-0000-00005C000000}"/>
    <cellStyle name="Percent" xfId="96" builtinId="5"/>
    <cellStyle name="Percent 2" xfId="93" xr:uid="{00000000-0005-0000-0000-00005D000000}"/>
  </cellStyles>
  <dxfs count="1">
    <dxf>
      <font>
        <b/>
        <i val="0"/>
        <color rgb="FFFF0000"/>
      </font>
    </dxf>
  </dxfs>
  <tableStyles count="0" defaultTableStyle="TableStyleMedium2" defaultPivotStyle="PivotStyleLight16"/>
  <colors>
    <mruColors>
      <color rgb="FF66FF33"/>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[S07wccic_Macro_KikeOtufale.xlsm]CCp!PivotTable1</c:name>
    <c:fmtId val="2"/>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CCp!$B$3</c:f>
              <c:strCache>
                <c:ptCount val="1"/>
                <c:pt idx="0">
                  <c:v>Sum of Registered Voters</c:v>
                </c:pt>
              </c:strCache>
            </c:strRef>
          </c:tx>
          <c:spPr>
            <a:solidFill>
              <a:schemeClr val="accent1"/>
            </a:solidFill>
            <a:ln>
              <a:noFill/>
            </a:ln>
            <a:effectLst/>
          </c:spPr>
          <c:invertIfNegative val="0"/>
          <c:cat>
            <c:strRef>
              <c:f>CCp!$A$4:$A$13</c:f>
              <c:strCache>
                <c:ptCount val="9"/>
                <c:pt idx="0">
                  <c:v>Chatham</c:v>
                </c:pt>
                <c:pt idx="1">
                  <c:v>Cherokee</c:v>
                </c:pt>
                <c:pt idx="2">
                  <c:v>Clayton</c:v>
                </c:pt>
                <c:pt idx="3">
                  <c:v>Cobb</c:v>
                </c:pt>
                <c:pt idx="4">
                  <c:v>DeKalb</c:v>
                </c:pt>
                <c:pt idx="5">
                  <c:v>Forsyth</c:v>
                </c:pt>
                <c:pt idx="6">
                  <c:v>Fulton</c:v>
                </c:pt>
                <c:pt idx="7">
                  <c:v>Gwinnett</c:v>
                </c:pt>
                <c:pt idx="8">
                  <c:v>Henry</c:v>
                </c:pt>
              </c:strCache>
            </c:strRef>
          </c:cat>
          <c:val>
            <c:numRef>
              <c:f>CCp!$B$4:$B$13</c:f>
              <c:numCache>
                <c:formatCode>General</c:formatCode>
                <c:ptCount val="9"/>
                <c:pt idx="0">
                  <c:v>200388</c:v>
                </c:pt>
                <c:pt idx="1">
                  <c:v>190531</c:v>
                </c:pt>
                <c:pt idx="2">
                  <c:v>193326</c:v>
                </c:pt>
                <c:pt idx="3">
                  <c:v>537611</c:v>
                </c:pt>
                <c:pt idx="4">
                  <c:v>546711</c:v>
                </c:pt>
                <c:pt idx="5">
                  <c:v>163984</c:v>
                </c:pt>
                <c:pt idx="6">
                  <c:v>806451</c:v>
                </c:pt>
                <c:pt idx="7">
                  <c:v>581467</c:v>
                </c:pt>
                <c:pt idx="8">
                  <c:v>171905</c:v>
                </c:pt>
              </c:numCache>
            </c:numRef>
          </c:val>
          <c:extLst>
            <c:ext xmlns:c16="http://schemas.microsoft.com/office/drawing/2014/chart" uri="{C3380CC4-5D6E-409C-BE32-E72D297353CC}">
              <c16:uniqueId val="{00000009-96CB-304F-94DD-9DF397190434}"/>
            </c:ext>
          </c:extLst>
        </c:ser>
        <c:ser>
          <c:idx val="1"/>
          <c:order val="1"/>
          <c:tx>
            <c:strRef>
              <c:f>CCp!$C$3</c:f>
              <c:strCache>
                <c:ptCount val="1"/>
                <c:pt idx="0">
                  <c:v>Sum of %Eday</c:v>
                </c:pt>
              </c:strCache>
            </c:strRef>
          </c:tx>
          <c:spPr>
            <a:solidFill>
              <a:schemeClr val="accent2"/>
            </a:solidFill>
            <a:ln>
              <a:noFill/>
            </a:ln>
            <a:effectLst/>
          </c:spPr>
          <c:invertIfNegative val="0"/>
          <c:cat>
            <c:strRef>
              <c:f>CCp!$A$4:$A$13</c:f>
              <c:strCache>
                <c:ptCount val="9"/>
                <c:pt idx="0">
                  <c:v>Chatham</c:v>
                </c:pt>
                <c:pt idx="1">
                  <c:v>Cherokee</c:v>
                </c:pt>
                <c:pt idx="2">
                  <c:v>Clayton</c:v>
                </c:pt>
                <c:pt idx="3">
                  <c:v>Cobb</c:v>
                </c:pt>
                <c:pt idx="4">
                  <c:v>DeKalb</c:v>
                </c:pt>
                <c:pt idx="5">
                  <c:v>Forsyth</c:v>
                </c:pt>
                <c:pt idx="6">
                  <c:v>Fulton</c:v>
                </c:pt>
                <c:pt idx="7">
                  <c:v>Gwinnett</c:v>
                </c:pt>
                <c:pt idx="8">
                  <c:v>Henry</c:v>
                </c:pt>
              </c:strCache>
            </c:strRef>
          </c:cat>
          <c:val>
            <c:numRef>
              <c:f>CCp!$C$4:$C$13</c:f>
              <c:numCache>
                <c:formatCode>General</c:formatCode>
                <c:ptCount val="9"/>
                <c:pt idx="0">
                  <c:v>0.27934824252349438</c:v>
                </c:pt>
                <c:pt idx="1">
                  <c:v>0.21594181878457619</c:v>
                </c:pt>
                <c:pt idx="2">
                  <c:v>0.18167592170328442</c:v>
                </c:pt>
                <c:pt idx="3">
                  <c:v>0.17894565504893284</c:v>
                </c:pt>
                <c:pt idx="4">
                  <c:v>0.13453876136855783</c:v>
                </c:pt>
                <c:pt idx="5">
                  <c:v>0.10465889925575206</c:v>
                </c:pt>
                <c:pt idx="6">
                  <c:v>0.10696181758506254</c:v>
                </c:pt>
                <c:pt idx="7">
                  <c:v>0.1760740753286282</c:v>
                </c:pt>
                <c:pt idx="8">
                  <c:v>0.13657964976238526</c:v>
                </c:pt>
              </c:numCache>
            </c:numRef>
          </c:val>
          <c:extLst>
            <c:ext xmlns:c16="http://schemas.microsoft.com/office/drawing/2014/chart" uri="{C3380CC4-5D6E-409C-BE32-E72D297353CC}">
              <c16:uniqueId val="{0000000A-96CB-304F-94DD-9DF397190434}"/>
            </c:ext>
          </c:extLst>
        </c:ser>
        <c:ser>
          <c:idx val="2"/>
          <c:order val="2"/>
          <c:tx>
            <c:strRef>
              <c:f>CCp!$D$3</c:f>
              <c:strCache>
                <c:ptCount val="1"/>
                <c:pt idx="0">
                  <c:v>Sum of %Advance</c:v>
                </c:pt>
              </c:strCache>
            </c:strRef>
          </c:tx>
          <c:spPr>
            <a:solidFill>
              <a:schemeClr val="accent3"/>
            </a:solidFill>
            <a:ln>
              <a:noFill/>
            </a:ln>
            <a:effectLst/>
          </c:spPr>
          <c:invertIfNegative val="0"/>
          <c:cat>
            <c:strRef>
              <c:f>CCp!$A$4:$A$13</c:f>
              <c:strCache>
                <c:ptCount val="9"/>
                <c:pt idx="0">
                  <c:v>Chatham</c:v>
                </c:pt>
                <c:pt idx="1">
                  <c:v>Cherokee</c:v>
                </c:pt>
                <c:pt idx="2">
                  <c:v>Clayton</c:v>
                </c:pt>
                <c:pt idx="3">
                  <c:v>Cobb</c:v>
                </c:pt>
                <c:pt idx="4">
                  <c:v>DeKalb</c:v>
                </c:pt>
                <c:pt idx="5">
                  <c:v>Forsyth</c:v>
                </c:pt>
                <c:pt idx="6">
                  <c:v>Fulton</c:v>
                </c:pt>
                <c:pt idx="7">
                  <c:v>Gwinnett</c:v>
                </c:pt>
                <c:pt idx="8">
                  <c:v>Henry</c:v>
                </c:pt>
              </c:strCache>
            </c:strRef>
          </c:cat>
          <c:val>
            <c:numRef>
              <c:f>CCp!$D$4:$D$13</c:f>
              <c:numCache>
                <c:formatCode>General</c:formatCode>
                <c:ptCount val="9"/>
                <c:pt idx="0">
                  <c:v>0.31038860551244396</c:v>
                </c:pt>
                <c:pt idx="1">
                  <c:v>0.2591840540372542</c:v>
                </c:pt>
                <c:pt idx="2">
                  <c:v>0.28419668964777206</c:v>
                </c:pt>
                <c:pt idx="3">
                  <c:v>0.37790189017070541</c:v>
                </c:pt>
                <c:pt idx="4">
                  <c:v>0.34688988739714161</c:v>
                </c:pt>
                <c:pt idx="5">
                  <c:v>0.23811292144393384</c:v>
                </c:pt>
                <c:pt idx="6">
                  <c:v>0.28212722097355275</c:v>
                </c:pt>
                <c:pt idx="7">
                  <c:v>0.29935230057898571</c:v>
                </c:pt>
                <c:pt idx="8">
                  <c:v>0.23917713690514941</c:v>
                </c:pt>
              </c:numCache>
            </c:numRef>
          </c:val>
          <c:extLst>
            <c:ext xmlns:c16="http://schemas.microsoft.com/office/drawing/2014/chart" uri="{C3380CC4-5D6E-409C-BE32-E72D297353CC}">
              <c16:uniqueId val="{0000000B-96CB-304F-94DD-9DF397190434}"/>
            </c:ext>
          </c:extLst>
        </c:ser>
        <c:ser>
          <c:idx val="3"/>
          <c:order val="3"/>
          <c:tx>
            <c:strRef>
              <c:f>CCp!$E$3</c:f>
              <c:strCache>
                <c:ptCount val="1"/>
                <c:pt idx="0">
                  <c:v>Sum of %Absent</c:v>
                </c:pt>
              </c:strCache>
            </c:strRef>
          </c:tx>
          <c:spPr>
            <a:solidFill>
              <a:schemeClr val="accent4"/>
            </a:solidFill>
            <a:ln>
              <a:noFill/>
            </a:ln>
            <a:effectLst/>
          </c:spPr>
          <c:invertIfNegative val="0"/>
          <c:cat>
            <c:strRef>
              <c:f>CCp!$A$4:$A$13</c:f>
              <c:strCache>
                <c:ptCount val="9"/>
                <c:pt idx="0">
                  <c:v>Chatham</c:v>
                </c:pt>
                <c:pt idx="1">
                  <c:v>Cherokee</c:v>
                </c:pt>
                <c:pt idx="2">
                  <c:v>Clayton</c:v>
                </c:pt>
                <c:pt idx="3">
                  <c:v>Cobb</c:v>
                </c:pt>
                <c:pt idx="4">
                  <c:v>DeKalb</c:v>
                </c:pt>
                <c:pt idx="5">
                  <c:v>Forsyth</c:v>
                </c:pt>
                <c:pt idx="6">
                  <c:v>Fulton</c:v>
                </c:pt>
                <c:pt idx="7">
                  <c:v>Gwinnett</c:v>
                </c:pt>
                <c:pt idx="8">
                  <c:v>Henry</c:v>
                </c:pt>
              </c:strCache>
            </c:strRef>
          </c:cat>
          <c:val>
            <c:numRef>
              <c:f>CCp!$E$4:$E$13</c:f>
              <c:numCache>
                <c:formatCode>General</c:formatCode>
                <c:ptCount val="9"/>
                <c:pt idx="0">
                  <c:v>0.41026315196406171</c:v>
                </c:pt>
                <c:pt idx="1">
                  <c:v>0.52487412717816961</c:v>
                </c:pt>
                <c:pt idx="2">
                  <c:v>0.53412738864894349</c:v>
                </c:pt>
                <c:pt idx="3">
                  <c:v>0.44315245478036175</c:v>
                </c:pt>
                <c:pt idx="4">
                  <c:v>0.51857135123430054</c:v>
                </c:pt>
                <c:pt idx="5">
                  <c:v>0.65722817930031407</c:v>
                </c:pt>
                <c:pt idx="6">
                  <c:v>0.61091096144138468</c:v>
                </c:pt>
                <c:pt idx="7">
                  <c:v>0.52457362409238606</c:v>
                </c:pt>
                <c:pt idx="8">
                  <c:v>0.62424321333246535</c:v>
                </c:pt>
              </c:numCache>
            </c:numRef>
          </c:val>
          <c:extLst>
            <c:ext xmlns:c16="http://schemas.microsoft.com/office/drawing/2014/chart" uri="{C3380CC4-5D6E-409C-BE32-E72D297353CC}">
              <c16:uniqueId val="{0000000C-96CB-304F-94DD-9DF397190434}"/>
            </c:ext>
          </c:extLst>
        </c:ser>
        <c:dLbls>
          <c:showLegendKey val="0"/>
          <c:showVal val="0"/>
          <c:showCatName val="0"/>
          <c:showSerName val="0"/>
          <c:showPercent val="0"/>
          <c:showBubbleSize val="0"/>
        </c:dLbls>
        <c:gapWidth val="219"/>
        <c:overlap val="-27"/>
        <c:axId val="764725504"/>
        <c:axId val="684919952"/>
      </c:barChart>
      <c:catAx>
        <c:axId val="764725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4919952"/>
        <c:crosses val="autoZero"/>
        <c:auto val="1"/>
        <c:lblAlgn val="ctr"/>
        <c:lblOffset val="100"/>
        <c:noMultiLvlLbl val="0"/>
      </c:catAx>
      <c:valAx>
        <c:axId val="6849199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47255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50800</xdr:colOff>
      <xdr:row>9</xdr:row>
      <xdr:rowOff>25400</xdr:rowOff>
    </xdr:from>
    <xdr:to>
      <xdr:col>2</xdr:col>
      <xdr:colOff>1758950</xdr:colOff>
      <xdr:row>9</xdr:row>
      <xdr:rowOff>292100</xdr:rowOff>
    </xdr:to>
    <xdr:sp macro="" textlink="">
      <xdr:nvSpPr>
        <xdr:cNvPr id="1025" name="CommandButton1" hidden="1">
          <a:extLst>
            <a:ext uri="{63B3BB69-23CF-44E3-9099-C40C66FF867C}">
              <a14:compatExt xmlns:a14="http://schemas.microsoft.com/office/drawing/2010/main"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2</xdr:col>
      <xdr:colOff>0</xdr:colOff>
      <xdr:row>11</xdr:row>
      <xdr:rowOff>12700</xdr:rowOff>
    </xdr:from>
    <xdr:to>
      <xdr:col>3</xdr:col>
      <xdr:colOff>0</xdr:colOff>
      <xdr:row>12</xdr:row>
      <xdr:rowOff>88900</xdr:rowOff>
    </xdr:to>
    <xdr:sp macro="" textlink="">
      <xdr:nvSpPr>
        <xdr:cNvPr id="1028" name="CommandButton3" hidden="1">
          <a:extLst>
            <a:ext uri="{63B3BB69-23CF-44E3-9099-C40C66FF867C}">
              <a14:compatExt xmlns:a14="http://schemas.microsoft.com/office/drawing/2010/main"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2</xdr:col>
      <xdr:colOff>0</xdr:colOff>
      <xdr:row>13</xdr:row>
      <xdr:rowOff>25400</xdr:rowOff>
    </xdr:from>
    <xdr:to>
      <xdr:col>3</xdr:col>
      <xdr:colOff>3175</xdr:colOff>
      <xdr:row>14</xdr:row>
      <xdr:rowOff>122990</xdr:rowOff>
    </xdr:to>
    <xdr:sp macro="" textlink="">
      <xdr:nvSpPr>
        <xdr:cNvPr id="1030" name="CommandButton5" hidden="1">
          <a:extLst>
            <a:ext uri="{63B3BB69-23CF-44E3-9099-C40C66FF867C}">
              <a14:compatExt xmlns:a14="http://schemas.microsoft.com/office/drawing/2010/main"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2</xdr:col>
          <xdr:colOff>63500</xdr:colOff>
          <xdr:row>9</xdr:row>
          <xdr:rowOff>38100</xdr:rowOff>
        </xdr:from>
        <xdr:to>
          <xdr:col>2</xdr:col>
          <xdr:colOff>1968500</xdr:colOff>
          <xdr:row>10</xdr:row>
          <xdr:rowOff>292100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System Font"/>
                </a:rPr>
                <a:t>Start Here</a:t>
              </a:r>
            </a:p>
          </xdr:txBody>
        </xdr:sp>
        <xdr:clientData/>
      </xdr:twoCellAnchor>
    </mc:Choice>
    <mc:Fallback/>
  </mc:AlternateContent>
  <xdr:twoCellAnchor editAs="oneCell">
    <xdr:from>
      <xdr:col>2</xdr:col>
      <xdr:colOff>0</xdr:colOff>
      <xdr:row>13</xdr:row>
      <xdr:rowOff>25400</xdr:rowOff>
    </xdr:from>
    <xdr:to>
      <xdr:col>3</xdr:col>
      <xdr:colOff>3175</xdr:colOff>
      <xdr:row>14</xdr:row>
      <xdr:rowOff>122990</xdr:rowOff>
    </xdr:to>
    <xdr:sp macro="" textlink="">
      <xdr:nvSpPr>
        <xdr:cNvPr id="7" name="CommandButton5" hidden="1">
          <a:extLst>
            <a:ext uri="{63B3BB69-23CF-44E3-9099-C40C66FF867C}">
              <a14:compatExt xmlns:a14="http://schemas.microsoft.com/office/drawing/2010/main" spid="_x0000_s1030"/>
            </a:ext>
            <a:ext uri="{FF2B5EF4-FFF2-40B4-BE49-F238E27FC236}">
              <a16:creationId xmlns:a16="http://schemas.microsoft.com/office/drawing/2014/main" id="{00000000-0008-0000-0000-000007000000}"/>
            </a:ext>
          </a:extLst>
        </xdr:cNvPr>
        <xdr:cNvSpPr/>
      </xdr:nvSpPr>
      <xdr:spPr bwMode="auto">
        <a:xfrm>
          <a:off x="1752600" y="3416300"/>
          <a:ext cx="1765300" cy="2921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2</xdr:col>
      <xdr:colOff>0</xdr:colOff>
      <xdr:row>11</xdr:row>
      <xdr:rowOff>12700</xdr:rowOff>
    </xdr:from>
    <xdr:to>
      <xdr:col>3</xdr:col>
      <xdr:colOff>7854</xdr:colOff>
      <xdr:row>12</xdr:row>
      <xdr:rowOff>3175</xdr:rowOff>
    </xdr:to>
    <xdr:sp macro="" textlink="">
      <xdr:nvSpPr>
        <xdr:cNvPr id="2" name="CommandButton3" hidden="1">
          <a:extLst>
            <a:ext uri="{63B3BB69-23CF-44E3-9099-C40C66FF867C}">
              <a14:compatExt xmlns:a14="http://schemas.microsoft.com/office/drawing/2010/main" spid="_x0000_s1028"/>
            </a:ext>
            <a:ext uri="{FF2B5EF4-FFF2-40B4-BE49-F238E27FC236}">
              <a16:creationId xmlns:a16="http://schemas.microsoft.com/office/drawing/2014/main" id="{00000000-0008-0000-0000-000002000000}"/>
            </a:ext>
          </a:extLst>
        </xdr:cNvPr>
        <xdr:cNvSpPr/>
      </xdr:nvSpPr>
      <xdr:spPr bwMode="auto">
        <a:xfrm>
          <a:off x="1752600" y="2794000"/>
          <a:ext cx="1769979" cy="2667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xdr:col>
      <xdr:colOff>0</xdr:colOff>
      <xdr:row>17</xdr:row>
      <xdr:rowOff>25400</xdr:rowOff>
    </xdr:from>
    <xdr:to>
      <xdr:col>2</xdr:col>
      <xdr:colOff>608097</xdr:colOff>
      <xdr:row>18</xdr:row>
      <xdr:rowOff>122990</xdr:rowOff>
    </xdr:to>
    <xdr:sp macro="" textlink="">
      <xdr:nvSpPr>
        <xdr:cNvPr id="3" name="CommandButton5" hidden="1">
          <a:extLst>
            <a:ext uri="{63B3BB69-23CF-44E3-9099-C40C66FF867C}">
              <a14:compatExt xmlns:a14="http://schemas.microsoft.com/office/drawing/2010/main" spid="_x0000_s1030"/>
            </a:ext>
            <a:ext uri="{FF2B5EF4-FFF2-40B4-BE49-F238E27FC236}">
              <a16:creationId xmlns:a16="http://schemas.microsoft.com/office/drawing/2014/main" id="{7F2B197F-3B03-4D1C-848D-EA9F3AC915CB}"/>
            </a:ext>
          </a:extLst>
        </xdr:cNvPr>
        <xdr:cNvSpPr/>
      </xdr:nvSpPr>
      <xdr:spPr bwMode="auto">
        <a:xfrm>
          <a:off x="590550" y="4406900"/>
          <a:ext cx="1770147" cy="28809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xdr:col>
      <xdr:colOff>0</xdr:colOff>
      <xdr:row>17</xdr:row>
      <xdr:rowOff>25400</xdr:rowOff>
    </xdr:from>
    <xdr:to>
      <xdr:col>2</xdr:col>
      <xdr:colOff>608097</xdr:colOff>
      <xdr:row>18</xdr:row>
      <xdr:rowOff>122990</xdr:rowOff>
    </xdr:to>
    <xdr:sp macro="" textlink="">
      <xdr:nvSpPr>
        <xdr:cNvPr id="4" name="CommandButton5" hidden="1">
          <a:extLst>
            <a:ext uri="{63B3BB69-23CF-44E3-9099-C40C66FF867C}">
              <a14:compatExt xmlns:a14="http://schemas.microsoft.com/office/drawing/2010/main" spid="_x0000_s1030"/>
            </a:ext>
            <a:ext uri="{FF2B5EF4-FFF2-40B4-BE49-F238E27FC236}">
              <a16:creationId xmlns:a16="http://schemas.microsoft.com/office/drawing/2014/main" id="{13E6AE5E-4C25-4522-A285-A51D21EBBDC1}"/>
            </a:ext>
          </a:extLst>
        </xdr:cNvPr>
        <xdr:cNvSpPr/>
      </xdr:nvSpPr>
      <xdr:spPr bwMode="auto">
        <a:xfrm>
          <a:off x="590550" y="4406900"/>
          <a:ext cx="1770147" cy="28809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33337</xdr:colOff>
      <xdr:row>2</xdr:row>
      <xdr:rowOff>23812</xdr:rowOff>
    </xdr:from>
    <xdr:to>
      <xdr:col>16</xdr:col>
      <xdr:colOff>147637</xdr:colOff>
      <xdr:row>16</xdr:row>
      <xdr:rowOff>100012</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85725</xdr:colOff>
      <xdr:row>1</xdr:row>
      <xdr:rowOff>981075</xdr:rowOff>
    </xdr:from>
    <xdr:to>
      <xdr:col>1</xdr:col>
      <xdr:colOff>4052647</xdr:colOff>
      <xdr:row>1</xdr:row>
      <xdr:rowOff>2057400</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rotWithShape="1">
        <a:blip xmlns:r="http://schemas.openxmlformats.org/officeDocument/2006/relationships" r:embed="rId1"/>
        <a:srcRect t="11024"/>
        <a:stretch/>
      </xdr:blipFill>
      <xdr:spPr>
        <a:xfrm>
          <a:off x="1800225" y="1181100"/>
          <a:ext cx="3966922" cy="1076325"/>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urt Schmitz" refreshedDate="44559.434291087964" createdVersion="7" refreshedVersion="7" minRefreshableVersion="3" recordCount="159" xr:uid="{A035031A-AAC3-452E-958A-C1AFD7321791}">
  <cacheSource type="worksheet">
    <worksheetSource ref="A1:O160" sheet="GAdata"/>
  </cacheSource>
  <cacheFields count="15">
    <cacheField name="County" numFmtId="0">
      <sharedItems count="159">
        <s v="Appling"/>
        <s v="Atkinson"/>
        <s v="Bacon"/>
        <s v="Baker"/>
        <s v="Baldwin"/>
        <s v="Banks"/>
        <s v="Barrow"/>
        <s v="Bartow"/>
        <s v="Ben Hill"/>
        <s v="Berrien"/>
        <s v="Bibb"/>
        <s v="Bleckley"/>
        <s v="Brantley"/>
        <s v="Brooks"/>
        <s v="Bryan"/>
        <s v="Bulloch"/>
        <s v="Burke"/>
        <s v="Butts"/>
        <s v="Calhoun"/>
        <s v="Camden"/>
        <s v="Candler"/>
        <s v="Carroll"/>
        <s v="Catoosa"/>
        <s v="Charlton"/>
        <s v="Chatham"/>
        <s v="Chattahoochee"/>
        <s v="Chattooga"/>
        <s v="Cherokee"/>
        <s v="Clarke"/>
        <s v="Clay"/>
        <s v="Clayton"/>
        <s v="Clinch"/>
        <s v="Cobb"/>
        <s v="Coffee"/>
        <s v="Colquitt"/>
        <s v="Columbia"/>
        <s v="Cook"/>
        <s v="Coweta"/>
        <s v="Crawford"/>
        <s v="Crisp"/>
        <s v="Dade"/>
        <s v="Dawson"/>
        <s v="Decatur"/>
        <s v="DeKalb"/>
        <s v="Dodge"/>
        <s v="Dooly"/>
        <s v="Dougherty"/>
        <s v="Douglas"/>
        <s v="Early"/>
        <s v="Echols"/>
        <s v="Effingham"/>
        <s v="Elbert"/>
        <s v="Emanuel"/>
        <s v="Evans"/>
        <s v="Fannin"/>
        <s v="Fayette"/>
        <s v="Floyd"/>
        <s v="Forsyth"/>
        <s v="Franklin"/>
        <s v="Fulton"/>
        <s v="Gilmer"/>
        <s v="Glascock"/>
        <s v="Glynn"/>
        <s v="Gordon"/>
        <s v="Grady"/>
        <s v="Greene"/>
        <s v="Gwinnett"/>
        <s v="Habersham"/>
        <s v="Hall"/>
        <s v="Hancock"/>
        <s v="Haralson"/>
        <s v="Harris"/>
        <s v="Hart"/>
        <s v="Heard"/>
        <s v="Henry"/>
        <s v="Houston"/>
        <s v="Irwin"/>
        <s v="Jackson"/>
        <s v="Jasper"/>
        <s v="Jeff Davis"/>
        <s v="Jefferson"/>
        <s v="Jenkins"/>
        <s v="Johnson"/>
        <s v="Jones"/>
        <s v="Lamar"/>
        <s v="Lanier"/>
        <s v="Laurens"/>
        <s v="Lee"/>
        <s v="Liberty"/>
        <s v="Lincoln"/>
        <s v="Long"/>
        <s v="Lowndes"/>
        <s v="Lumpkin"/>
        <s v="Macon"/>
        <s v="Madison"/>
        <s v="Marion"/>
        <s v="McDuffie"/>
        <s v="McIntosh"/>
        <s v="Meriwether"/>
        <s v="Miller"/>
        <s v="Mitchell"/>
        <s v="Monroe"/>
        <s v="Montgomery"/>
        <s v="Morgan"/>
        <s v="Murray"/>
        <s v="Muscogee"/>
        <s v="Newton"/>
        <s v="Oconee"/>
        <s v="Oglethorpe"/>
        <s v="Paulding"/>
        <s v="Peach"/>
        <s v="Pickens"/>
        <s v="Pierce"/>
        <s v="Pike"/>
        <s v="Polk"/>
        <s v="Pulaski"/>
        <s v="Putnam"/>
        <s v="Quitman"/>
        <s v="Rabun"/>
        <s v="Randolph"/>
        <s v="Richmond"/>
        <s v="Rockdale"/>
        <s v="Schley"/>
        <s v="Screven"/>
        <s v="Seminole"/>
        <s v="Spalding"/>
        <s v="Stephens"/>
        <s v="Stewart"/>
        <s v="Sumter"/>
        <s v="Talbot"/>
        <s v="Taliaferro"/>
        <s v="Tattnall"/>
        <s v="Taylor"/>
        <s v="Telfair"/>
        <s v="Terrell"/>
        <s v="Thomas"/>
        <s v="Tift"/>
        <s v="Toombs"/>
        <s v="Towns"/>
        <s v="Treutlen"/>
        <s v="Troup"/>
        <s v="Turner"/>
        <s v="Twiggs"/>
        <s v="Union"/>
        <s v="Upson"/>
        <s v="Walker"/>
        <s v="Walton"/>
        <s v="Ware"/>
        <s v="Warren"/>
        <s v="Washington"/>
        <s v="Wayne"/>
        <s v="Webster"/>
        <s v="Wheeler"/>
        <s v="White"/>
        <s v="Whitfield"/>
        <s v="Wilcox"/>
        <s v="Wilkes"/>
        <s v="Wilkinson"/>
        <s v="Worth"/>
      </sharedItems>
    </cacheField>
    <cacheField name="Elect Day" numFmtId="167">
      <sharedItems containsSemiMixedTypes="0" containsString="0" containsNumber="1" containsInteger="1" minValue="204" maxValue="72773"/>
    </cacheField>
    <cacheField name="Advance" numFmtId="167">
      <sharedItems containsSemiMixedTypes="0" containsString="0" containsNumber="1" containsInteger="1" minValue="0" maxValue="148588"/>
    </cacheField>
    <cacheField name="Absentee" numFmtId="167">
      <sharedItems containsSemiMixedTypes="0" containsString="0" containsNumber="1" containsInteger="1" minValue="0" maxValue="318284"/>
    </cacheField>
    <cacheField name="Provisional" numFmtId="167">
      <sharedItems containsSemiMixedTypes="0" containsString="0" containsNumber="1" containsInteger="1" minValue="0" maxValue="2780"/>
    </cacheField>
    <cacheField name="Registered Voters" numFmtId="0">
      <sharedItems containsSemiMixedTypes="0" containsString="0" containsNumber="1" containsInteger="1" minValue="1245" maxValue="806451"/>
    </cacheField>
    <cacheField name="%Eday" numFmtId="168">
      <sharedItems containsSemiMixedTypes="0" containsString="0" containsNumber="1" minValue="0.10384092454112849" maxValue="1"/>
    </cacheField>
    <cacheField name="%Advance" numFmtId="168">
      <sharedItems containsSemiMixedTypes="0" containsString="0" containsNumber="1" minValue="0" maxValue="0.37790189017070541"/>
    </cacheField>
    <cacheField name="%Absent" numFmtId="168">
      <sharedItems containsSemiMixedTypes="0" containsString="0" containsNumber="1" minValue="0" maxValue="0.72861736334405147"/>
    </cacheField>
    <cacheField name="Biden Total" numFmtId="0">
      <sharedItems containsSemiMixedTypes="0" containsString="0" containsNumber="1" containsInteger="1" minValue="155" maxValue="380212"/>
    </cacheField>
    <cacheField name="%Biden" numFmtId="168">
      <sharedItems containsSemiMixedTypes="0" containsString="0" containsNumber="1" minValue="9.0334236675700091E-2" maxValue="0.85366311666711381"/>
    </cacheField>
    <cacheField name="Jorgensen Total" numFmtId="0">
      <sharedItems containsSemiMixedTypes="0" containsString="0" containsNumber="1" containsInteger="1" minValue="3" maxValue="6445"/>
    </cacheField>
    <cacheField name="%Jorgensen" numFmtId="168">
      <sharedItems containsSemiMixedTypes="0" containsString="0" containsNumber="1" minValue="2.1567217828900071E-3" maxValue="2.2179974651457542E-2"/>
    </cacheField>
    <cacheField name="Trump Total" numFmtId="0">
      <sharedItems containsSemiMixedTypes="0" containsString="0" containsNumber="1" containsInteger="1" minValue="360" maxValue="166400"/>
    </cacheField>
    <cacheField name="%Trump" numFmtId="168">
      <sharedItems containsSemiMixedTypes="0" containsString="0" containsNumber="1" minValue="0.14138297967468769" maxValue="0.90243902439024393"/>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9">
  <r>
    <x v="0"/>
    <n v="6848"/>
    <n v="1530"/>
    <n v="0"/>
    <n v="12"/>
    <n v="11399"/>
    <n v="0.8173788493673908"/>
    <n v="0.18262115063260922"/>
    <n v="0"/>
    <n v="1784"/>
    <n v="0.21293864884220579"/>
    <n v="36"/>
    <n v="4.2969682501790406E-3"/>
    <n v="6570"/>
    <n v="0.78419670565767485"/>
  </r>
  <r>
    <x v="1"/>
    <n v="980"/>
    <n v="297"/>
    <n v="1877"/>
    <n v="1"/>
    <n v="4799"/>
    <n v="0.310716550412175"/>
    <n v="9.4166138237159164E-2"/>
    <n v="0.59511731135066581"/>
    <n v="825"/>
    <n v="0.26157260621433098"/>
    <n v="30"/>
    <n v="9.5117311350665819E-3"/>
    <n v="2300"/>
    <n v="0.72923272035510467"/>
  </r>
  <r>
    <x v="2"/>
    <n v="579"/>
    <n v="687"/>
    <n v="3399"/>
    <n v="2"/>
    <n v="6720"/>
    <n v="0.12411575562700965"/>
    <n v="0.1472668810289389"/>
    <n v="0.72861736334405147"/>
    <n v="625"/>
    <n v="0.13397642015005359"/>
    <n v="25"/>
    <n v="5.3590568060021436E-3"/>
    <n v="4017"/>
    <n v="0.86109324758842443"/>
  </r>
  <r>
    <x v="3"/>
    <n v="442"/>
    <n v="374"/>
    <n v="737"/>
    <n v="2"/>
    <n v="2258"/>
    <n v="0.28461043142305215"/>
    <n v="0.24082421120412106"/>
    <n v="0.47456535737282679"/>
    <n v="652"/>
    <n v="0.41983258209916291"/>
    <n v="6"/>
    <n v="3.8634900193174502E-3"/>
    <n v="897"/>
    <n v="0.5775917578879588"/>
  </r>
  <r>
    <x v="4"/>
    <n v="3463"/>
    <n v="4328"/>
    <n v="10455"/>
    <n v="5"/>
    <n v="26721"/>
    <n v="0.18979502356680916"/>
    <n v="0.23720267455880742"/>
    <n v="0.57300230187438339"/>
    <n v="9140"/>
    <n v="0.50093171105995837"/>
    <n v="208"/>
    <n v="1.1399758851255069E-2"/>
    <n v="8903"/>
    <n v="0.48794256275348019"/>
  </r>
  <r>
    <x v="5"/>
    <n v="1814"/>
    <n v="1378"/>
    <n v="5596"/>
    <n v="13"/>
    <n v="12898"/>
    <n v="0.20641784251251707"/>
    <n v="0.15680473372781065"/>
    <n v="0.63677742375967228"/>
    <n v="932"/>
    <n v="0.10605370960400547"/>
    <n v="74"/>
    <n v="8.4205735093309062E-3"/>
    <n v="7795"/>
    <n v="0.88700500682749206"/>
  </r>
  <r>
    <x v="6"/>
    <n v="7828"/>
    <n v="7848"/>
    <n v="22239"/>
    <n v="6"/>
    <n v="55605"/>
    <n v="0.20646182249769221"/>
    <n v="0.20698931821178954"/>
    <n v="0.58654885929051825"/>
    <n v="10453"/>
    <n v="0.27569563497296584"/>
    <n v="664"/>
    <n v="1.7512857708031123E-2"/>
    <n v="26804"/>
    <n v="0.70694975603323218"/>
  </r>
  <r>
    <x v="7"/>
    <n v="12630"/>
    <n v="10607"/>
    <n v="27197"/>
    <n v="30"/>
    <n v="74409"/>
    <n v="0.25042629971844393"/>
    <n v="0.21031447039695444"/>
    <n v="0.53925922988460162"/>
    <n v="12091"/>
    <n v="0.23973906491652458"/>
    <n v="701"/>
    <n v="1.3899353610659476E-2"/>
    <n v="37672"/>
    <n v="0.7469564182892493"/>
  </r>
  <r>
    <x v="8"/>
    <n v="798"/>
    <n v="1251"/>
    <n v="4514"/>
    <n v="1"/>
    <n v="9854"/>
    <n v="0.12159073594392808"/>
    <n v="0.19061404845345117"/>
    <n v="0.6877952156026208"/>
    <n v="2393"/>
    <n v="0.36461983848849611"/>
    <n v="60"/>
    <n v="9.142160597287825E-3"/>
    <n v="4111"/>
    <n v="0.62639037025750421"/>
  </r>
  <r>
    <x v="9"/>
    <n v="2189"/>
    <n v="1125"/>
    <n v="4418"/>
    <n v="11"/>
    <n v="11275"/>
    <n v="0.28310915675116399"/>
    <n v="0.14549922400413864"/>
    <n v="0.57139161924469739"/>
    <n v="1269"/>
    <n v="0.1641231246766684"/>
    <n v="55"/>
    <n v="7.1132953957578895E-3"/>
    <n v="6419"/>
    <n v="0.83018623900672528"/>
  </r>
  <r>
    <x v="10"/>
    <n v="16904"/>
    <n v="19796"/>
    <n v="33840"/>
    <n v="174"/>
    <n v="107979"/>
    <n v="0.23963708534165012"/>
    <n v="0.28063510065211228"/>
    <n v="0.4797278140062376"/>
    <n v="43408"/>
    <n v="0.61536716756450238"/>
    <n v="747"/>
    <n v="1.0589736319818542E-2"/>
    <n v="26559"/>
    <n v="0.37650978168415083"/>
  </r>
  <r>
    <x v="11"/>
    <n v="1257"/>
    <n v="1053"/>
    <n v="3396"/>
    <n v="2"/>
    <n v="7516"/>
    <n v="0.22029442691903259"/>
    <n v="0.18454258675078863"/>
    <n v="0.59516298633017872"/>
    <n v="1312"/>
    <n v="0.22993340343498073"/>
    <n v="67"/>
    <n v="1.1742025937609533E-2"/>
    <n v="4329"/>
    <n v="0.75867507886435326"/>
  </r>
  <r>
    <x v="12"/>
    <n v="2162"/>
    <n v="909"/>
    <n v="4678"/>
    <n v="0"/>
    <n v="11888"/>
    <n v="0.27900374241837655"/>
    <n v="0.1173054587688734"/>
    <n v="0.60369079881275001"/>
    <n v="700"/>
    <n v="9.0334236675700091E-2"/>
    <n v="56"/>
    <n v="7.2267389340560069E-3"/>
    <n v="6993"/>
    <n v="0.90243902439024393"/>
  </r>
  <r>
    <x v="13"/>
    <n v="1961"/>
    <n v="1654"/>
    <n v="3486"/>
    <n v="0"/>
    <n v="11154"/>
    <n v="0.27615828756513167"/>
    <n v="0.23292494014927476"/>
    <n v="0.49091677228559361"/>
    <n v="2791"/>
    <n v="0.39304323334741587"/>
    <n v="49"/>
    <n v="6.9004365582312349E-3"/>
    <n v="4261"/>
    <n v="0.60005633009435289"/>
  </r>
  <r>
    <x v="14"/>
    <n v="3525"/>
    <n v="3760"/>
    <n v="14043"/>
    <n v="7"/>
    <n v="30608"/>
    <n v="0.16527569392348088"/>
    <n v="0.17629407351837958"/>
    <n v="0.65843023255813948"/>
    <n v="6738"/>
    <n v="0.31592273068267068"/>
    <n v="357"/>
    <n v="1.6738559639909976E-2"/>
    <n v="14240"/>
    <n v="0.66766691672918232"/>
  </r>
  <r>
    <x v="15"/>
    <n v="9260"/>
    <n v="6423"/>
    <n v="14348"/>
    <n v="59"/>
    <n v="44738"/>
    <n v="0.30834804035829644"/>
    <n v="0.21387899170856781"/>
    <n v="0.47777296793313578"/>
    <n v="11248"/>
    <n v="0.3745463021544404"/>
    <n v="455"/>
    <n v="1.5151010622356898E-2"/>
    <n v="18387"/>
    <n v="0.61226732376544235"/>
  </r>
  <r>
    <x v="16"/>
    <n v="3464"/>
    <n v="2529"/>
    <n v="4690"/>
    <n v="0"/>
    <n v="16556"/>
    <n v="0.32425348684826361"/>
    <n v="0.23673125526537489"/>
    <n v="0.43901525788636153"/>
    <n v="5208"/>
    <n v="0.48750351024992977"/>
    <n v="75"/>
    <n v="7.0204998595900028E-3"/>
    <n v="5400"/>
    <n v="0.50547598989048015"/>
  </r>
  <r>
    <x v="17"/>
    <n v="1222"/>
    <n v="2129"/>
    <n v="8417"/>
    <n v="3"/>
    <n v="17154"/>
    <n v="0.10384092454112849"/>
    <n v="0.18091434398368456"/>
    <n v="0.71524473147518697"/>
    <n v="3274"/>
    <n v="0.27821210061182866"/>
    <n v="91"/>
    <n v="7.7328348062542492E-3"/>
    <n v="8406"/>
    <n v="0.71430999320190347"/>
  </r>
  <r>
    <x v="18"/>
    <n v="637"/>
    <n v="589"/>
    <n v="972"/>
    <n v="0"/>
    <n v="3184"/>
    <n v="0.28980891719745222"/>
    <n v="0.26797088262056418"/>
    <n v="0.4422202001819836"/>
    <n v="1263"/>
    <n v="0.57461328480436757"/>
    <n v="12"/>
    <n v="5.4595086442220204E-3"/>
    <n v="923"/>
    <n v="0.41992720655141036"/>
  </r>
  <r>
    <x v="19"/>
    <n v="4956"/>
    <n v="5032"/>
    <n v="13691"/>
    <n v="7"/>
    <n v="34950"/>
    <n v="0.20929937919675662"/>
    <n v="0.21250897419654546"/>
    <n v="0.57819164660669797"/>
    <n v="7967"/>
    <n v="0.33645846530681195"/>
    <n v="470"/>
    <n v="1.9848811182904682E-2"/>
    <n v="15249"/>
    <n v="0.64398834410236916"/>
  </r>
  <r>
    <x v="20"/>
    <n v="638"/>
    <n v="755"/>
    <n v="3037"/>
    <n v="1"/>
    <n v="6300"/>
    <n v="0.14401805869074491"/>
    <n v="0.17042889390519186"/>
    <n v="0.6855530474040632"/>
    <n v="1269"/>
    <n v="0.28645598194130928"/>
    <n v="29"/>
    <n v="6.5462753950338596E-3"/>
    <n v="3133"/>
    <n v="0.70722347629796845"/>
  </r>
  <r>
    <x v="21"/>
    <n v="14356"/>
    <n v="9456"/>
    <n v="30615"/>
    <n v="45"/>
    <n v="83847"/>
    <n v="0.2637661454792658"/>
    <n v="0.17373729950208536"/>
    <n v="0.56249655501864881"/>
    <n v="16236"/>
    <n v="0.29830782516030646"/>
    <n v="760"/>
    <n v="1.3963657743399416E-2"/>
    <n v="37476"/>
    <n v="0.68855531262057434"/>
  </r>
  <r>
    <x v="22"/>
    <n v="6324"/>
    <n v="5160"/>
    <n v="21084"/>
    <n v="25"/>
    <n v="45715"/>
    <n v="0.1941783345615328"/>
    <n v="0.15843773028739869"/>
    <n v="0.64738393515106851"/>
    <n v="6932"/>
    <n v="0.2128469663473348"/>
    <n v="494"/>
    <n v="1.5168263325964137E-2"/>
    <n v="25167"/>
    <n v="0.77275239498894621"/>
  </r>
  <r>
    <x v="23"/>
    <n v="1374"/>
    <n v="698"/>
    <n v="2494"/>
    <n v="2"/>
    <n v="6552"/>
    <n v="0.30091984231274638"/>
    <n v="0.15286903197547086"/>
    <n v="0.54621112571178276"/>
    <n v="1105"/>
    <n v="0.24200613228208498"/>
    <n v="44"/>
    <n v="9.6364432763907139E-3"/>
    <n v="3419"/>
    <n v="0.74879544459045111"/>
  </r>
  <r>
    <x v="24"/>
    <n v="37186"/>
    <n v="41318"/>
    <n v="54613"/>
    <n v="291"/>
    <n v="200388"/>
    <n v="0.27934824252349438"/>
    <n v="0.31038860551244396"/>
    <n v="0.41026315196406171"/>
    <n v="78247"/>
    <n v="0.5878062155847863"/>
    <n v="1929"/>
    <n v="1.449101166642878E-2"/>
    <n v="53232"/>
    <n v="0.39988881960981693"/>
  </r>
  <r>
    <x v="25"/>
    <n v="458"/>
    <n v="307"/>
    <n v="813"/>
    <n v="4"/>
    <n v="3132"/>
    <n v="0.2902408111533587"/>
    <n v="0.19455006337135614"/>
    <n v="0.51520912547528519"/>
    <n v="667"/>
    <n v="0.42268694550063374"/>
    <n v="35"/>
    <n v="2.2179974651457542E-2"/>
    <n v="880"/>
    <n v="0.55766793409378956"/>
  </r>
  <r>
    <x v="26"/>
    <n v="2880"/>
    <n v="1776"/>
    <n v="5386"/>
    <n v="8"/>
    <n v="14143"/>
    <n v="0.28679545907189802"/>
    <n v="0.17685719976100378"/>
    <n v="0.53634734116709815"/>
    <n v="1854"/>
    <n v="0.18462457677753435"/>
    <n v="132"/>
    <n v="1.314479187412866E-2"/>
    <n v="8064"/>
    <n v="0.80302728540131452"/>
  </r>
  <r>
    <x v="27"/>
    <n v="31266"/>
    <n v="37527"/>
    <n v="75996"/>
    <n v="26"/>
    <n v="190531"/>
    <n v="0.21594181878457619"/>
    <n v="0.2591840540372542"/>
    <n v="0.52487412717816961"/>
    <n v="42779"/>
    <n v="0.29545752785087265"/>
    <n v="2451"/>
    <n v="1.6928081553156664E-2"/>
    <n v="99585"/>
    <n v="0.6877939622485133"/>
  </r>
  <r>
    <x v="28"/>
    <n v="9002"/>
    <n v="18620"/>
    <n v="23667"/>
    <n v="57"/>
    <n v="76504"/>
    <n v="0.17551521768800327"/>
    <n v="0.36304080797052002"/>
    <n v="0.46144397434147671"/>
    <n v="36055"/>
    <n v="0.70297724658308802"/>
    <n v="841"/>
    <n v="1.6397278168808125E-2"/>
    <n v="14450"/>
    <n v="0.28173682466025851"/>
  </r>
  <r>
    <x v="29"/>
    <n v="301"/>
    <n v="404"/>
    <n v="730"/>
    <n v="0"/>
    <n v="2053"/>
    <n v="0.2097560975609756"/>
    <n v="0.28153310104529616"/>
    <n v="0.50871080139372826"/>
    <n v="791"/>
    <n v="0.551219512195122"/>
    <n v="7"/>
    <n v="4.8780487804878049E-3"/>
    <n v="637"/>
    <n v="0.44390243902439025"/>
  </r>
  <r>
    <x v="30"/>
    <n v="20317"/>
    <n v="31782"/>
    <n v="59732"/>
    <n v="499"/>
    <n v="193326"/>
    <n v="0.18167592170328442"/>
    <n v="0.28419668964777206"/>
    <n v="0.53412738864894349"/>
    <n v="95466"/>
    <n v="0.85366311666711381"/>
    <n v="1053"/>
    <n v="9.4159937763232011E-3"/>
    <n v="15811"/>
    <n v="0.14138297967468769"/>
  </r>
  <r>
    <x v="31"/>
    <n v="853"/>
    <n v="367"/>
    <n v="1640"/>
    <n v="1"/>
    <n v="4345"/>
    <n v="0.29825174825174827"/>
    <n v="0.12832167832167832"/>
    <n v="0.57342657342657344"/>
    <n v="744"/>
    <n v="0.26013986013986012"/>
    <n v="12"/>
    <n v="4.1958041958041958E-3"/>
    <n v="2105"/>
    <n v="0.73601398601398604"/>
  </r>
  <r>
    <x v="32"/>
    <n v="70360"/>
    <n v="148588"/>
    <n v="174244"/>
    <n v="536"/>
    <n v="537611"/>
    <n v="0.17894565504893284"/>
    <n v="0.37790189017070541"/>
    <n v="0.44315245478036175"/>
    <n v="221847"/>
    <n v="0.5642205334798267"/>
    <n v="6445"/>
    <n v="1.6391483041364015E-2"/>
    <n v="165436"/>
    <n v="0.42075118517162097"/>
  </r>
  <r>
    <x v="33"/>
    <n v="3728"/>
    <n v="1929"/>
    <n v="9544"/>
    <n v="13"/>
    <n v="25114"/>
    <n v="0.24524702322215644"/>
    <n v="0.12689954608249457"/>
    <n v="0.62785343069534894"/>
    <n v="4511"/>
    <n v="0.29675679231629498"/>
    <n v="125"/>
    <n v="8.2231432142622195E-3"/>
    <n v="10578"/>
    <n v="0.69587527136372607"/>
  </r>
  <r>
    <x v="34"/>
    <n v="5428"/>
    <n v="2587"/>
    <n v="8058"/>
    <n v="13"/>
    <n v="25054"/>
    <n v="0.33770920176693836"/>
    <n v="0.16095315124743359"/>
    <n v="0.5013376469856281"/>
    <n v="4190"/>
    <n v="0.26068562185030797"/>
    <n v="119"/>
    <n v="7.4037205251042118E-3"/>
    <n v="11777"/>
    <n v="0.73271946742985128"/>
  </r>
  <r>
    <x v="35"/>
    <n v="18823"/>
    <n v="16806"/>
    <n v="44866"/>
    <n v="80"/>
    <n v="107380"/>
    <n v="0.23384061121808808"/>
    <n v="0.20878315423318219"/>
    <n v="0.55737623454872975"/>
    <n v="29232"/>
    <n v="0.36315299086899805"/>
    <n v="1330"/>
    <n v="1.6522765389154606E-2"/>
    <n v="50013"/>
    <n v="0.62131809429157092"/>
  </r>
  <r>
    <x v="36"/>
    <n v="1677"/>
    <n v="1012"/>
    <n v="4345"/>
    <n v="1"/>
    <n v="10632"/>
    <n v="0.23841342052885983"/>
    <n v="0.1438726187091271"/>
    <n v="0.61771396076201313"/>
    <n v="2059"/>
    <n v="0.29272106909297696"/>
    <n v="76"/>
    <n v="1.0804663065112312E-2"/>
    <n v="4900"/>
    <n v="0.69661643446118848"/>
  </r>
  <r>
    <x v="37"/>
    <n v="24101"/>
    <n v="18992"/>
    <n v="33685"/>
    <n v="21"/>
    <n v="102110"/>
    <n v="0.31390502487691785"/>
    <n v="0.24736252572351455"/>
    <n v="0.43873244939956757"/>
    <n v="24210"/>
    <n v="0.31532470238870508"/>
    <n v="1088"/>
    <n v="1.4170725989215661E-2"/>
    <n v="51501"/>
    <n v="0.67077808747297407"/>
  </r>
  <r>
    <x v="38"/>
    <n v="1436"/>
    <n v="1096"/>
    <n v="3568"/>
    <n v="2"/>
    <n v="8512"/>
    <n v="0.23540983606557378"/>
    <n v="0.17967213114754099"/>
    <n v="0.58491803278688526"/>
    <n v="1615"/>
    <n v="0.26475409836065572"/>
    <n v="59"/>
    <n v="9.6721311475409834E-3"/>
    <n v="4428"/>
    <n v="0.72590163934426233"/>
  </r>
  <r>
    <x v="39"/>
    <n v="1571"/>
    <n v="1670"/>
    <n v="4787"/>
    <n v="5"/>
    <n v="12554"/>
    <n v="0.19569008470353763"/>
    <n v="0.20802192326856003"/>
    <n v="0.59628799202790239"/>
    <n v="2982"/>
    <n v="0.37144992526158443"/>
    <n v="66"/>
    <n v="8.2212257100149483E-3"/>
    <n v="4985"/>
    <n v="0.62095166915794719"/>
  </r>
  <r>
    <x v="40"/>
    <n v="2304"/>
    <n v="1024"/>
    <n v="4098"/>
    <n v="8"/>
    <n v="11660"/>
    <n v="0.31026124427686508"/>
    <n v="0.13789388634527336"/>
    <n v="0.55184486937786159"/>
    <n v="1261"/>
    <n v="0.16980877996229465"/>
    <n v="107"/>
    <n v="1.4408833827093993E-2"/>
    <n v="6066"/>
    <n v="0.81685968219768379"/>
  </r>
  <r>
    <x v="41"/>
    <n v="2652"/>
    <n v="3059"/>
    <n v="10366"/>
    <n v="4"/>
    <n v="21529"/>
    <n v="0.16495614853517448"/>
    <n v="0.19027181688125894"/>
    <n v="0.64477203458356658"/>
    <n v="2486"/>
    <n v="0.15463083908689432"/>
    <n v="197"/>
    <n v="1.2253529887416806E-2"/>
    <n v="13398"/>
    <n v="0.83336443366299684"/>
  </r>
  <r>
    <x v="42"/>
    <n v="2277"/>
    <n v="2325"/>
    <n v="7009"/>
    <n v="14"/>
    <n v="16618"/>
    <n v="0.19610713978124192"/>
    <n v="0.20024115063302042"/>
    <n v="0.60365170958573766"/>
    <n v="4782"/>
    <n v="0.41185083110843168"/>
    <n v="88"/>
    <n v="7.5790198949272245E-3"/>
    <n v="6755"/>
    <n v="0.58177590216174313"/>
  </r>
  <r>
    <x v="43"/>
    <n v="49704"/>
    <n v="128155"/>
    <n v="191581"/>
    <n v="1306"/>
    <n v="546711"/>
    <n v="0.13453876136855783"/>
    <n v="0.34688988739714161"/>
    <n v="0.51857135123430054"/>
    <n v="308162"/>
    <n v="0.83413274144651361"/>
    <n v="4207"/>
    <n v="1.138750541359896E-2"/>
    <n v="58377"/>
    <n v="0.15801483326115201"/>
  </r>
  <r>
    <x v="44"/>
    <n v="2920"/>
    <n v="1301"/>
    <n v="3844"/>
    <n v="6"/>
    <n v="11439"/>
    <n v="0.36205827650340977"/>
    <n v="0.16131432114073155"/>
    <n v="0.47662740235585865"/>
    <n v="2172"/>
    <n v="0.26931184128952262"/>
    <n v="56"/>
    <n v="6.9435833849969004E-3"/>
    <n v="5843"/>
    <n v="0.72448853068815866"/>
  </r>
  <r>
    <x v="45"/>
    <n v="958"/>
    <n v="742"/>
    <n v="2400"/>
    <n v="5"/>
    <n v="5949"/>
    <n v="0.23365853658536587"/>
    <n v="0.18097560975609756"/>
    <n v="0.58536585365853655"/>
    <n v="1911"/>
    <n v="0.46609756097560978"/>
    <n v="35"/>
    <n v="8.5365853658536592E-3"/>
    <n v="2159"/>
    <n v="0.52658536585365856"/>
  </r>
  <r>
    <x v="46"/>
    <n v="11698"/>
    <n v="10465"/>
    <n v="13016"/>
    <n v="108"/>
    <n v="61172"/>
    <n v="0.33252792859376334"/>
    <n v="0.29747860939765203"/>
    <n v="0.36999346200858468"/>
    <n v="24568"/>
    <n v="0.69837118735609316"/>
    <n v="278"/>
    <n v="7.9024417976633794E-3"/>
    <n v="10441"/>
    <n v="0.29679638420648685"/>
  </r>
  <r>
    <x v="47"/>
    <n v="11088"/>
    <n v="19658"/>
    <n v="38295"/>
    <n v="65"/>
    <n v="102540"/>
    <n v="0.16060022305586535"/>
    <n v="0.28472936371141783"/>
    <n v="0.55467041323271682"/>
    <n v="42814"/>
    <n v="0.62012427398212655"/>
    <n v="838"/>
    <n v="1.2137715270636288E-2"/>
    <n v="25454"/>
    <n v="0.36867948030880204"/>
  </r>
  <r>
    <x v="48"/>
    <n v="1452"/>
    <n v="1105"/>
    <n v="2628"/>
    <n v="3"/>
    <n v="7320"/>
    <n v="0.28003857280617167"/>
    <n v="0.21311475409836064"/>
    <n v="0.50684667309546771"/>
    <n v="2450"/>
    <n v="0.47251687560270011"/>
    <n v="28"/>
    <n v="5.400192864030858E-3"/>
    <n v="2710"/>
    <n v="0.52266152362584373"/>
  </r>
  <r>
    <x v="49"/>
    <n v="263"/>
    <n v="156"/>
    <n v="1022"/>
    <n v="0"/>
    <n v="2156"/>
    <n v="0.1825121443442054"/>
    <n v="0.10825815405968078"/>
    <n v="0.70922970159611376"/>
    <n v="167"/>
    <n v="0.11589174184594032"/>
    <n v="18"/>
    <n v="1.2491325468424705E-2"/>
    <n v="1256"/>
    <n v="0.871616932685635"/>
  </r>
  <r>
    <x v="50"/>
    <n v="9335"/>
    <n v="4943"/>
    <n v="17264"/>
    <n v="29"/>
    <n v="44273"/>
    <n v="0.29595460021558556"/>
    <n v="0.1567116860059603"/>
    <n v="0.54733371377845408"/>
    <n v="7718"/>
    <n v="0.2446896201889544"/>
    <n v="492"/>
    <n v="1.5598249952444359E-2"/>
    <n v="23361"/>
    <n v="0.74063153890051359"/>
  </r>
  <r>
    <x v="51"/>
    <n v="9171"/>
    <n v="0"/>
    <n v="0"/>
    <n v="0"/>
    <n v="12305"/>
    <n v="1"/>
    <n v="0"/>
    <n v="0"/>
    <n v="2879"/>
    <n v="0.31392432668193215"/>
    <n v="66"/>
    <n v="7.1965979718678439E-3"/>
    <n v="6226"/>
    <n v="0.67887907534619996"/>
  </r>
  <r>
    <x v="52"/>
    <n v="3407"/>
    <n v="1713"/>
    <n v="4383"/>
    <n v="2"/>
    <n v="13715"/>
    <n v="0.35851836262232978"/>
    <n v="0.18025886562138271"/>
    <n v="0.46122277175628751"/>
    <n v="2886"/>
    <n v="0.30369357045143641"/>
    <n v="66"/>
    <n v="6.9451752078291068E-3"/>
    <n v="6553"/>
    <n v="0.68957171419551722"/>
  </r>
  <r>
    <x v="53"/>
    <n v="719"/>
    <n v="850"/>
    <n v="2678"/>
    <n v="0"/>
    <n v="6135"/>
    <n v="0.16929597362844362"/>
    <n v="0.20014127619496114"/>
    <n v="0.63056275017659524"/>
    <n v="1324"/>
    <n v="0.31174947021426891"/>
    <n v="35"/>
    <n v="8.2411113727336952E-3"/>
    <n v="2888"/>
    <n v="0.68000941841299745"/>
  </r>
  <r>
    <x v="54"/>
    <n v="4590"/>
    <n v="3444"/>
    <n v="6792"/>
    <n v="23"/>
    <n v="20399"/>
    <n v="0.30959125859975717"/>
    <n v="0.23229461756373937"/>
    <n v="0.45811412383650346"/>
    <n v="2570"/>
    <n v="0.17334412518548495"/>
    <n v="110"/>
    <n v="7.4193983542425465E-3"/>
    <n v="12169"/>
    <n v="0.82078780520706862"/>
  </r>
  <r>
    <x v="55"/>
    <n v="10032"/>
    <n v="18764"/>
    <n v="43070"/>
    <n v="128"/>
    <n v="92307"/>
    <n v="0.13959313166170373"/>
    <n v="0.26109704171652798"/>
    <n v="0.59930982662176824"/>
    <n v="33062"/>
    <n v="0.46005064982049926"/>
    <n v="976"/>
    <n v="1.3580830991011048E-2"/>
    <n v="37956"/>
    <n v="0.52814961177747477"/>
  </r>
  <r>
    <x v="56"/>
    <n v="10280"/>
    <n v="8507"/>
    <n v="22414"/>
    <n v="140"/>
    <n v="60650"/>
    <n v="0.249508507075071"/>
    <n v="0.20647557098128685"/>
    <n v="0.54401592194364212"/>
    <n v="11917"/>
    <n v="0.28924055241377639"/>
    <n v="518"/>
    <n v="1.2572510375961748E-2"/>
    <n v="28906"/>
    <n v="0.70158491298754888"/>
  </r>
  <r>
    <x v="57"/>
    <n v="13528"/>
    <n v="30778"/>
    <n v="84952"/>
    <n v="53"/>
    <n v="163984"/>
    <n v="0.10465889925575206"/>
    <n v="0.23811292144393384"/>
    <n v="0.65722817930031407"/>
    <n v="42208"/>
    <n v="0.32654071701558124"/>
    <n v="1980"/>
    <n v="1.5318200807686951E-2"/>
    <n v="85123"/>
    <n v="0.65855111482461437"/>
  </r>
  <r>
    <x v="58"/>
    <n v="2680"/>
    <n v="2027"/>
    <n v="6056"/>
    <n v="2"/>
    <n v="15146"/>
    <n v="0.24900120784167984"/>
    <n v="0.18833039115488245"/>
    <n v="0.56266840100343773"/>
    <n v="1593"/>
    <n v="0.14800706122828208"/>
    <n v="103"/>
    <n v="9.5698225401839639E-3"/>
    <n v="9069"/>
    <n v="0.84260893802843073"/>
  </r>
  <r>
    <x v="59"/>
    <n v="55727"/>
    <n v="146988"/>
    <n v="318284"/>
    <n v="2780"/>
    <n v="806451"/>
    <n v="0.10696181758506254"/>
    <n v="0.28212722097355275"/>
    <n v="0.61091096144138468"/>
    <n v="380212"/>
    <n v="0.72977491319561072"/>
    <n v="6320"/>
    <n v="1.2130541517354159E-2"/>
    <n v="137247"/>
    <n v="0.26343044804308646"/>
  </r>
  <r>
    <x v="60"/>
    <n v="4888"/>
    <n v="3488"/>
    <n v="8136"/>
    <n v="13"/>
    <n v="22264"/>
    <n v="0.29602713178294576"/>
    <n v="0.21124031007751937"/>
    <n v="0.49273255813953487"/>
    <n v="2932"/>
    <n v="0.17756782945736435"/>
    <n v="164"/>
    <n v="9.9321705426356592E-3"/>
    <n v="13429"/>
    <n v="0.81328730620155043"/>
  </r>
  <r>
    <x v="61"/>
    <n v="446"/>
    <n v="259"/>
    <n v="860"/>
    <n v="0"/>
    <n v="2039"/>
    <n v="0.28498402555910546"/>
    <n v="0.16549520766773163"/>
    <n v="0.54952076677316297"/>
    <n v="155"/>
    <n v="9.9041533546325874E-2"/>
    <n v="8"/>
    <n v="5.111821086261981E-3"/>
    <n v="1402"/>
    <n v="0.8958466453674121"/>
  </r>
  <r>
    <x v="62"/>
    <n v="7004"/>
    <n v="10230"/>
    <n v="24696"/>
    <n v="58"/>
    <n v="61952"/>
    <n v="0.16704030527068925"/>
    <n v="0.2439780586692106"/>
    <n v="0.58898163606010012"/>
    <n v="15882"/>
    <n v="0.37877414738850468"/>
    <n v="489"/>
    <n v="1.166229430002385E-2"/>
    <n v="25617"/>
    <n v="0.61094681612210833"/>
  </r>
  <r>
    <x v="63"/>
    <n v="8096"/>
    <n v="4053"/>
    <n v="11868"/>
    <n v="16"/>
    <n v="36429"/>
    <n v="0.33709455802140148"/>
    <n v="0.168755464879044"/>
    <n v="0.49414997709955449"/>
    <n v="4384"/>
    <n v="0.18253736936336762"/>
    <n v="244"/>
    <n v="1.0159470375150935E-2"/>
    <n v="19405"/>
    <n v="0.80796935504017986"/>
  </r>
  <r>
    <x v="64"/>
    <n v="2688"/>
    <n v="2226"/>
    <n v="5775"/>
    <n v="18"/>
    <n v="15442"/>
    <n v="0.25147347740667975"/>
    <n v="0.20825147347740669"/>
    <n v="0.54027504911591351"/>
    <n v="3619"/>
    <n v="0.33857236411263913"/>
    <n v="54"/>
    <n v="5.0519225371877634E-3"/>
    <n v="7034"/>
    <n v="0.65805968752923572"/>
  </r>
  <r>
    <x v="65"/>
    <n v="1447"/>
    <n v="2825"/>
    <n v="6962"/>
    <n v="10"/>
    <n v="14171"/>
    <n v="0.12880541214171265"/>
    <n v="0.25146875556346804"/>
    <n v="0.61972583229481926"/>
    <n v="4087"/>
    <n v="0.3638063022965996"/>
    <n v="91"/>
    <n v="8.1004094712479966E-3"/>
    <n v="7066"/>
    <n v="0.6289834431191027"/>
  </r>
  <r>
    <x v="66"/>
    <n v="72773"/>
    <n v="123725"/>
    <n v="216811"/>
    <n v="714"/>
    <n v="581467"/>
    <n v="0.1760740753286282"/>
    <n v="0.29935230057898571"/>
    <n v="0.52457362409238606"/>
    <n v="241994"/>
    <n v="0.58550382401544609"/>
    <n v="5629"/>
    <n v="1.3619350171421383E-2"/>
    <n v="166400"/>
    <n v="0.40260434686880758"/>
  </r>
  <r>
    <x v="67"/>
    <n v="3203"/>
    <n v="4261"/>
    <n v="12942"/>
    <n v="25"/>
    <n v="28264"/>
    <n v="0.15696363814564343"/>
    <n v="0.2088111339802019"/>
    <n v="0.6342252278741547"/>
    <n v="3562"/>
    <n v="0.17455650298931688"/>
    <n v="232"/>
    <n v="1.1369205135744388E-2"/>
    <n v="16637"/>
    <n v="0.81529942173870429"/>
  </r>
  <r>
    <x v="68"/>
    <n v="15363"/>
    <n v="21542"/>
    <n v="53558"/>
    <n v="74"/>
    <n v="128332"/>
    <n v="0.1698263378397798"/>
    <n v="0.23813050639487968"/>
    <n v="0.5920431557653405"/>
    <n v="25033"/>
    <n v="0.27672086930568296"/>
    <n v="1321"/>
    <n v="1.4602655229209732E-2"/>
    <n v="64183"/>
    <n v="0.70949448945977911"/>
  </r>
  <r>
    <x v="69"/>
    <n v="895"/>
    <n v="1475"/>
    <n v="1780"/>
    <n v="3"/>
    <n v="5827"/>
    <n v="0.21566265060240963"/>
    <n v="0.35542168674698793"/>
    <n v="0.42891566265060244"/>
    <n v="2976"/>
    <n v="0.71710843373493971"/>
    <n v="23"/>
    <n v="5.5421686746987952E-3"/>
    <n v="1154"/>
    <n v="0.27807228915662652"/>
  </r>
  <r>
    <x v="70"/>
    <n v="4745"/>
    <n v="2487"/>
    <n v="7010"/>
    <n v="4"/>
    <n v="20667"/>
    <n v="0.33316949866591772"/>
    <n v="0.17462435051256847"/>
    <n v="0.49220615082151381"/>
    <n v="1791"/>
    <n v="0.12575480971773628"/>
    <n v="125"/>
    <n v="8.7768571829799184E-3"/>
    <n v="12330"/>
    <n v="0.86574919252913918"/>
  </r>
  <r>
    <x v="71"/>
    <n v="6973"/>
    <n v="4216"/>
    <n v="8783"/>
    <n v="19"/>
    <n v="25626"/>
    <n v="0.34913879431203687"/>
    <n v="0.21109553374724616"/>
    <n v="0.43976567194071703"/>
    <n v="5457"/>
    <n v="0.27323252553575006"/>
    <n v="215"/>
    <n v="1.0765071099539355E-2"/>
    <n v="14319"/>
    <n v="0.71695373522932104"/>
  </r>
  <r>
    <x v="72"/>
    <n v="2941"/>
    <n v="2590"/>
    <n v="7197"/>
    <n v="0"/>
    <n v="16929"/>
    <n v="0.23106536769327468"/>
    <n v="0.20348837209302326"/>
    <n v="0.56544626021370203"/>
    <n v="3157"/>
    <n v="0.24803582652419862"/>
    <n v="106"/>
    <n v="8.328095537397863E-3"/>
    <n v="9465"/>
    <n v="0.74363607793840347"/>
  </r>
  <r>
    <x v="73"/>
    <n v="1846"/>
    <n v="987"/>
    <n v="2559"/>
    <n v="2"/>
    <n v="7762"/>
    <n v="0.34235905044510384"/>
    <n v="0.18304896142433236"/>
    <n v="0.4745919881305638"/>
    <n v="824"/>
    <n v="0.15281899109792285"/>
    <n v="51"/>
    <n v="9.458456973293769E-3"/>
    <n v="4519"/>
    <n v="0.83809347181008897"/>
  </r>
  <r>
    <x v="74"/>
    <n v="16784"/>
    <n v="29392"/>
    <n v="76712"/>
    <n v="110"/>
    <n v="171905"/>
    <n v="0.13657964976238526"/>
    <n v="0.23917713690514941"/>
    <n v="0.62424321333246535"/>
    <n v="73443"/>
    <n v="0.59764175509406936"/>
    <n v="1296"/>
    <n v="1.054618839919276E-2"/>
    <n v="48259"/>
    <n v="0.39270718052210141"/>
  </r>
  <r>
    <x v="75"/>
    <n v="18432"/>
    <n v="20324"/>
    <n v="35984"/>
    <n v="98"/>
    <n v="105315"/>
    <n v="0.24661493176344662"/>
    <n v="0.27192935509767191"/>
    <n v="0.48145571313888147"/>
    <n v="32239"/>
    <n v="0.43134867540808136"/>
    <n v="1059"/>
    <n v="1.4169119614664169E-2"/>
    <n v="41540"/>
    <n v="0.55579341717955577"/>
  </r>
  <r>
    <x v="76"/>
    <n v="890"/>
    <n v="627"/>
    <n v="2646"/>
    <n v="5"/>
    <n v="6113"/>
    <n v="0.21378813355753062"/>
    <n v="0.15061253903435023"/>
    <n v="0.6355993274081192"/>
    <n v="1008"/>
    <n v="0.24213307710785492"/>
    <n v="26"/>
    <n v="6.2454960365121307E-3"/>
    <n v="3134"/>
    <n v="0.75282248378573147"/>
  </r>
  <r>
    <x v="77"/>
    <n v="6171"/>
    <n v="7313"/>
    <n v="24184"/>
    <n v="7"/>
    <n v="51951"/>
    <n v="0.16382605925453966"/>
    <n v="0.19414357013911013"/>
    <n v="0.64203037060635026"/>
    <n v="7642"/>
    <n v="0.20287777423808007"/>
    <n v="531"/>
    <n v="1.4096846129340554E-2"/>
    <n v="29502"/>
    <n v="0.7832112137623447"/>
  </r>
  <r>
    <x v="78"/>
    <n v="1863"/>
    <n v="1506"/>
    <n v="4261"/>
    <n v="14"/>
    <n v="10432"/>
    <n v="0.24416775884665792"/>
    <n v="0.19737876802096985"/>
    <n v="0.55845347313237226"/>
    <n v="1761"/>
    <n v="0.23079947575360418"/>
    <n v="61"/>
    <n v="7.9947575360419399E-3"/>
    <n v="5822"/>
    <n v="0.76304062909567494"/>
  </r>
  <r>
    <x v="79"/>
    <n v="1684"/>
    <n v="814"/>
    <n v="3273"/>
    <n v="0"/>
    <n v="8478"/>
    <n v="0.29180384682030847"/>
    <n v="0.14105007797608735"/>
    <n v="0.56714607520360427"/>
    <n v="1028"/>
    <n v="0.17813203950788425"/>
    <n v="48"/>
    <n v="8.3174493155432332E-3"/>
    <n v="4695"/>
    <n v="0.81355051117657251"/>
  </r>
  <r>
    <x v="80"/>
    <n v="2171"/>
    <n v="1722"/>
    <n v="3734"/>
    <n v="12"/>
    <n v="11334"/>
    <n v="0.28464665005900092"/>
    <n v="0.22577684541759538"/>
    <n v="0.48957650452340368"/>
    <n v="4058"/>
    <n v="0.53205716533368297"/>
    <n v="44"/>
    <n v="5.768978628556444E-3"/>
    <n v="3537"/>
    <n v="0.46374721384554873"/>
  </r>
  <r>
    <x v="81"/>
    <n v="886"/>
    <n v="756"/>
    <n v="1809"/>
    <n v="4"/>
    <n v="5066"/>
    <n v="0.25673717762967257"/>
    <n v="0.21906693711967545"/>
    <n v="0.52419588525065197"/>
    <n v="1266"/>
    <n v="0.36685018835120253"/>
    <n v="28"/>
    <n v="8.1135902636916835E-3"/>
    <n v="2161"/>
    <n v="0.62619530570849025"/>
  </r>
  <r>
    <x v="82"/>
    <n v="989"/>
    <n v="757"/>
    <n v="2354"/>
    <n v="0"/>
    <n v="5611"/>
    <n v="0.24121951219512194"/>
    <n v="0.18463414634146341"/>
    <n v="0.57414634146341459"/>
    <n v="1222"/>
    <n v="0.29804878048780487"/>
    <n v="28"/>
    <n v="6.8292682926829268E-3"/>
    <n v="2850"/>
    <n v="0.69512195121951215"/>
  </r>
  <r>
    <x v="83"/>
    <n v="3879"/>
    <n v="2978"/>
    <n v="8077"/>
    <n v="0"/>
    <n v="20661"/>
    <n v="0.25974286862193652"/>
    <n v="0.19941074059193786"/>
    <n v="0.54084639078612562"/>
    <n v="4882"/>
    <n v="0.32690504888174637"/>
    <n v="112"/>
    <n v="7.4996651935181468E-3"/>
    <n v="9940"/>
    <n v="0.66559528592473549"/>
  </r>
  <r>
    <x v="84"/>
    <n v="2253"/>
    <n v="1763"/>
    <n v="5018"/>
    <n v="11"/>
    <n v="12839"/>
    <n v="0.24939118884215186"/>
    <n v="0.19515164932477308"/>
    <n v="0.55545716183307503"/>
    <n v="2620"/>
    <n v="0.2900154970112907"/>
    <n v="94"/>
    <n v="1.0405136152313482E-2"/>
    <n v="6331"/>
    <n v="0.7007969891520921"/>
  </r>
  <r>
    <x v="85"/>
    <n v="698"/>
    <n v="558"/>
    <n v="2320"/>
    <n v="0"/>
    <n v="5462"/>
    <n v="0.19519015659955258"/>
    <n v="0.15604026845637584"/>
    <n v="0.64876957494407161"/>
    <n v="1019"/>
    <n v="0.28495525727069348"/>
    <n v="48"/>
    <n v="1.3422818791946308E-2"/>
    <n v="2509"/>
    <n v="0.70162192393736023"/>
  </r>
  <r>
    <x v="86"/>
    <n v="7606"/>
    <n v="5125"/>
    <n v="9994"/>
    <n v="6"/>
    <n v="32837"/>
    <n v="0.33469746974697467"/>
    <n v="0.22552255225522552"/>
    <n v="0.43977997799779978"/>
    <n v="8074"/>
    <n v="0.35529152915291529"/>
    <n v="164"/>
    <n v="7.2167216721672166E-3"/>
    <n v="14493"/>
    <n v="0.6377557755775578"/>
  </r>
  <r>
    <x v="87"/>
    <n v="4011"/>
    <n v="2483"/>
    <n v="10214"/>
    <n v="6"/>
    <n v="22897"/>
    <n v="0.24006463969355998"/>
    <n v="0.14861144361982284"/>
    <n v="0.61132391668661723"/>
    <n v="4558"/>
    <n v="0.2728034474503232"/>
    <n v="149"/>
    <n v="8.9178836485515924E-3"/>
    <n v="12007"/>
    <n v="0.7186377783097917"/>
  </r>
  <r>
    <x v="88"/>
    <n v="3474"/>
    <n v="5711"/>
    <n v="12209"/>
    <n v="0"/>
    <n v="35582"/>
    <n v="0.16238197625502476"/>
    <n v="0.26694400299149296"/>
    <n v="0.57067402075348228"/>
    <n v="13104"/>
    <n v="0.61250817986351314"/>
    <n v="331"/>
    <n v="1.5471627559128728E-2"/>
    <n v="7959"/>
    <n v="0.37202019257735813"/>
  </r>
  <r>
    <x v="89"/>
    <n v="1181"/>
    <n v="1080"/>
    <n v="2377"/>
    <n v="3"/>
    <n v="6176"/>
    <n v="0.25463561880120744"/>
    <n v="0.23285899094437257"/>
    <n v="0.51250539025441999"/>
    <n v="1432"/>
    <n v="0.30875377317809399"/>
    <n v="36"/>
    <n v="7.7619663648124193E-3"/>
    <n v="3173"/>
    <n v="0.68413109098749458"/>
  </r>
  <r>
    <x v="90"/>
    <n v="1538"/>
    <n v="805"/>
    <n v="3298"/>
    <n v="16"/>
    <n v="10470"/>
    <n v="0.2726466938486084"/>
    <n v="0.14270519411451871"/>
    <n v="0.58464811203687295"/>
    <n v="2035"/>
    <n v="0.36075163978018082"/>
    <n v="95"/>
    <n v="1.6840985640843822E-2"/>
    <n v="3527"/>
    <n v="0.6252437511079596"/>
  </r>
  <r>
    <x v="91"/>
    <n v="8411"/>
    <n v="9431"/>
    <n v="28060"/>
    <n v="453"/>
    <n v="75356"/>
    <n v="0.183238203128404"/>
    <n v="0.20545945710426561"/>
    <n v="0.61130233976733039"/>
    <n v="20116"/>
    <n v="0.43823798527297286"/>
    <n v="547"/>
    <n v="1.1916692083133633E-2"/>
    <n v="25692"/>
    <n v="0.55971417367434972"/>
  </r>
  <r>
    <x v="92"/>
    <n v="2397"/>
    <n v="3315"/>
    <n v="9818"/>
    <n v="1"/>
    <n v="22407"/>
    <n v="0.15434642627173212"/>
    <n v="0.21345782356728912"/>
    <n v="0.63219575016097873"/>
    <n v="3126"/>
    <n v="0.20128783000643916"/>
    <n v="242"/>
    <n v="1.5582743077913715E-2"/>
    <n v="12163"/>
    <n v="0.78319381841596913"/>
  </r>
  <r>
    <x v="93"/>
    <n v="1054"/>
    <n v="845"/>
    <n v="2764"/>
    <n v="0"/>
    <n v="6991"/>
    <n v="0.22603474158267209"/>
    <n v="0.18121381085138322"/>
    <n v="0.59275144756594467"/>
    <n v="2858"/>
    <n v="0.61291014368432339"/>
    <n v="22"/>
    <n v="4.7179927085567236E-3"/>
    <n v="1783"/>
    <n v="0.38237186360711989"/>
  </r>
  <r>
    <x v="94"/>
    <n v="4325"/>
    <n v="2950"/>
    <n v="7658"/>
    <n v="4"/>
    <n v="20720"/>
    <n v="0.28962700060269203"/>
    <n v="0.19754905243420612"/>
    <n v="0.51282394696310185"/>
    <n v="3411"/>
    <n v="0.22842027723833122"/>
    <n v="200"/>
    <n v="1.3393156097234312E-2"/>
    <n v="11326"/>
    <n v="0.75845442978637911"/>
  </r>
  <r>
    <x v="95"/>
    <n v="991"/>
    <n v="773"/>
    <n v="1861"/>
    <n v="0"/>
    <n v="4913"/>
    <n v="0.2733793103448276"/>
    <n v="0.21324137931034481"/>
    <n v="0.51337931034482753"/>
    <n v="1312"/>
    <n v="0.3619310344827586"/>
    <n v="38"/>
    <n v="1.0482758620689656E-2"/>
    <n v="2275"/>
    <n v="0.62758620689655176"/>
  </r>
  <r>
    <x v="96"/>
    <n v="1466"/>
    <n v="2443"/>
    <n v="6546"/>
    <n v="0"/>
    <n v="15033"/>
    <n v="0.14021999043519848"/>
    <n v="0.23366810138689623"/>
    <n v="0.6261119081779053"/>
    <n v="4168"/>
    <n v="0.39866092778574846"/>
    <n v="118"/>
    <n v="1.1286465805834528E-2"/>
    <n v="6169"/>
    <n v="0.59005260640841706"/>
  </r>
  <r>
    <x v="97"/>
    <n v="1286"/>
    <n v="1702"/>
    <n v="3707"/>
    <n v="1"/>
    <n v="9292"/>
    <n v="0.19208364451082899"/>
    <n v="0.25421956684092606"/>
    <n v="0.55369678864824501"/>
    <n v="2612"/>
    <n v="0.39014189693801343"/>
    <n v="68"/>
    <n v="1.0156833457804331E-2"/>
    <n v="4016"/>
    <n v="0.59985063480209111"/>
  </r>
  <r>
    <x v="98"/>
    <n v="3444"/>
    <n v="2486"/>
    <n v="4940"/>
    <n v="7"/>
    <n v="15337"/>
    <n v="0.31683532658693653"/>
    <n v="0.22870285188592457"/>
    <n v="0.45446182152713893"/>
    <n v="4287"/>
    <n v="0.39438822447102118"/>
    <n v="66"/>
    <n v="6.0717571297148115E-3"/>
    <n v="6524"/>
    <n v="0.60018399264029443"/>
  </r>
  <r>
    <x v="99"/>
    <n v="711"/>
    <n v="486"/>
    <n v="1634"/>
    <n v="3"/>
    <n v="3912"/>
    <n v="0.25114800423878486"/>
    <n v="0.17167078770752384"/>
    <n v="0.57718120805369133"/>
    <n v="748"/>
    <n v="0.26421759095725894"/>
    <n v="20"/>
    <n v="7.0646414694454252E-3"/>
    <n v="2066"/>
    <n v="0.72977746379371244"/>
  </r>
  <r>
    <x v="100"/>
    <n v="2385"/>
    <n v="2189"/>
    <n v="4381"/>
    <n v="7"/>
    <n v="13474"/>
    <n v="0.26633165829145727"/>
    <n v="0.24444444444444444"/>
    <n v="0.48922389726409826"/>
    <n v="3993"/>
    <n v="0.44589614740368511"/>
    <n v="34"/>
    <n v="3.7967615857063095E-3"/>
    <n v="4935"/>
    <n v="0.5510887772194305"/>
  </r>
  <r>
    <x v="101"/>
    <n v="3434"/>
    <n v="2461"/>
    <n v="9687"/>
    <n v="8"/>
    <n v="21138"/>
    <n v="0.2203824926196894"/>
    <n v="0.157938647156976"/>
    <n v="0.62167886022333463"/>
    <n v="4385"/>
    <n v="0.28141445257348224"/>
    <n v="148"/>
    <n v="9.4981388781927873E-3"/>
    <n v="11057"/>
    <n v="0.70960082146065973"/>
  </r>
  <r>
    <x v="102"/>
    <n v="1371"/>
    <n v="669"/>
    <n v="1927"/>
    <n v="0"/>
    <n v="5463"/>
    <n v="0.34560120998235444"/>
    <n v="0.16864129064784472"/>
    <n v="0.48575749936980084"/>
    <n v="980"/>
    <n v="0.24703806402823292"/>
    <n v="27"/>
    <n v="6.8061507436349891E-3"/>
    <n v="2960"/>
    <n v="0.74615578522813208"/>
  </r>
  <r>
    <x v="103"/>
    <n v="2412"/>
    <n v="1997"/>
    <n v="7292"/>
    <n v="5"/>
    <n v="14824"/>
    <n v="0.20613622767284848"/>
    <n v="0.17066917357490813"/>
    <n v="0.62319459875224337"/>
    <n v="3353"/>
    <n v="0.28655670455516624"/>
    <n v="122"/>
    <n v="1.0426459276984873E-2"/>
    <n v="8231"/>
    <n v="0.70344415007264338"/>
  </r>
  <r>
    <x v="104"/>
    <n v="4473"/>
    <n v="2062"/>
    <n v="8854"/>
    <n v="0"/>
    <n v="22284"/>
    <n v="0.29066216128403405"/>
    <n v="0.13399181233348495"/>
    <n v="0.575346026382481"/>
    <n v="2301"/>
    <n v="0.1495223861199558"/>
    <n v="144"/>
    <n v="9.3573331600493859E-3"/>
    <n v="12944"/>
    <n v="0.84112028071999478"/>
  </r>
  <r>
    <x v="105"/>
    <n v="13403"/>
    <n v="24279"/>
    <n v="42780"/>
    <n v="52"/>
    <n v="130878"/>
    <n v="0.16657552633541298"/>
    <n v="0.30174492306927492"/>
    <n v="0.53167955059531202"/>
    <n v="49446"/>
    <n v="0.61452611170490423"/>
    <n v="961"/>
    <n v="1.1943526136561359E-2"/>
    <n v="30107"/>
    <n v="0.3741766299619696"/>
  </r>
  <r>
    <x v="106"/>
    <n v="17922"/>
    <n v="15485"/>
    <n v="20788"/>
    <n v="39"/>
    <n v="78994"/>
    <n v="0.3306947135344589"/>
    <n v="0.28572746563336099"/>
    <n v="0.38357782083218012"/>
    <n v="29789"/>
    <n v="0.5496632530676262"/>
    <n v="576"/>
    <n v="1.0628286742319403E-2"/>
    <n v="23869"/>
    <n v="0.44042808377156561"/>
  </r>
  <r>
    <x v="107"/>
    <n v="3516"/>
    <n v="5765"/>
    <n v="15882"/>
    <n v="5"/>
    <n v="30071"/>
    <n v="0.13972896713428445"/>
    <n v="0.22910622739736916"/>
    <n v="0.63116480546834641"/>
    <n v="8162"/>
    <n v="0.32436513929181737"/>
    <n v="411"/>
    <n v="1.6333505543854071E-2"/>
    <n v="16595"/>
    <n v="0.65950005961133407"/>
  </r>
  <r>
    <x v="108"/>
    <n v="1504"/>
    <n v="1844"/>
    <n v="4781"/>
    <n v="4"/>
    <n v="10844"/>
    <n v="0.18501660720875876"/>
    <n v="0.22684217000861115"/>
    <n v="0.58814122278263004"/>
    <n v="2439"/>
    <n v="0.30003690490835283"/>
    <n v="102"/>
    <n v="1.2547668839955714E-2"/>
    <n v="5592"/>
    <n v="0.68790749169639565"/>
  </r>
  <r>
    <x v="109"/>
    <n v="13799"/>
    <n v="20399"/>
    <n v="51099"/>
    <n v="75"/>
    <n v="114945"/>
    <n v="0.16177591240020164"/>
    <n v="0.23915260794635215"/>
    <n v="0.5990714796534462"/>
    <n v="29695"/>
    <n v="0.34813651124893019"/>
    <n v="1160"/>
    <n v="1.3599540429323423E-2"/>
    <n v="54517"/>
    <n v="0.63914322895295261"/>
  </r>
  <r>
    <x v="110"/>
    <n v="1807"/>
    <n v="2563"/>
    <n v="8166"/>
    <n v="17"/>
    <n v="17996"/>
    <n v="0.14414486279514996"/>
    <n v="0.20445118059987236"/>
    <n v="0.65140395660497763"/>
    <n v="5922"/>
    <n v="0.47239948947032545"/>
    <n v="125"/>
    <n v="9.9712827058072752E-3"/>
    <n v="6506"/>
    <n v="0.51898532227185701"/>
  </r>
  <r>
    <x v="111"/>
    <n v="6773"/>
    <n v="2991"/>
    <n v="7395"/>
    <n v="8"/>
    <n v="23766"/>
    <n v="0.39471997202634185"/>
    <n v="0.17431085727606505"/>
    <n v="0.43096917069759311"/>
    <n v="2824"/>
    <n v="0.16457835538201526"/>
    <n v="233"/>
    <n v="1.3578879888105367E-2"/>
    <n v="14110"/>
    <n v="0.82230899236552246"/>
  </r>
  <r>
    <x v="112"/>
    <n v="1343"/>
    <n v="1297"/>
    <n v="6407"/>
    <n v="0"/>
    <n v="12717"/>
    <n v="0.14844699900519509"/>
    <n v="0.14336244058804024"/>
    <n v="0.70819056040676465"/>
    <n v="1100"/>
    <n v="0.12158726649718139"/>
    <n v="49"/>
    <n v="5.4161600530562614E-3"/>
    <n v="7898"/>
    <n v="0.87299657344976234"/>
  </r>
  <r>
    <x v="113"/>
    <n v="2653"/>
    <n v="1462"/>
    <n v="6600"/>
    <n v="5"/>
    <n v="13942"/>
    <n v="0.24759682687820811"/>
    <n v="0.13644423705086328"/>
    <n v="0.61595893607092855"/>
    <n v="1505"/>
    <n v="0.14045730284647689"/>
    <n v="88"/>
    <n v="8.2127858142790489E-3"/>
    <n v="9127"/>
    <n v="0.85179654689687356"/>
  </r>
  <r>
    <x v="114"/>
    <n v="3513"/>
    <n v="2818"/>
    <n v="11044"/>
    <n v="21"/>
    <n v="24189"/>
    <n v="0.20218705035971224"/>
    <n v="0.16218705035971223"/>
    <n v="0.63562589928057556"/>
    <n v="3657"/>
    <n v="0.21047482014388488"/>
    <n v="152"/>
    <n v="8.7482014388489213E-3"/>
    <n v="13587"/>
    <n v="0.78198561151079138"/>
  </r>
  <r>
    <x v="115"/>
    <n v="555"/>
    <n v="681"/>
    <n v="2844"/>
    <n v="1"/>
    <n v="5687"/>
    <n v="0.13602941176470587"/>
    <n v="0.16691176470588234"/>
    <n v="0.69705882352941173"/>
    <n v="1230"/>
    <n v="0.3014705882352941"/>
    <n v="36"/>
    <n v="8.8235294117647058E-3"/>
    <n v="2815"/>
    <n v="0.68995098039215685"/>
  </r>
  <r>
    <x v="116"/>
    <n v="2052"/>
    <n v="3272"/>
    <n v="6530"/>
    <n v="1"/>
    <n v="16003"/>
    <n v="0.17310612451493168"/>
    <n v="0.27602497047410157"/>
    <n v="0.55086890501096675"/>
    <n v="3448"/>
    <n v="0.29087227939935889"/>
    <n v="116"/>
    <n v="9.7857263371014004E-3"/>
    <n v="8291"/>
    <n v="0.6994263539733423"/>
  </r>
  <r>
    <x v="117"/>
    <n v="329"/>
    <n v="226"/>
    <n v="550"/>
    <n v="1"/>
    <n v="1547"/>
    <n v="0.29773755656108597"/>
    <n v="0.20452488687782805"/>
    <n v="0.49773755656108598"/>
    <n v="497"/>
    <n v="0.44977375565610861"/>
    <n v="5"/>
    <n v="4.5248868778280547E-3"/>
    <n v="604"/>
    <n v="0.5466063348416289"/>
  </r>
  <r>
    <x v="118"/>
    <n v="1434"/>
    <n v="2584"/>
    <n v="5550"/>
    <n v="0"/>
    <n v="13072"/>
    <n v="0.14987458193979933"/>
    <n v="0.27006688963210701"/>
    <n v="0.58005852842809369"/>
    <n v="1984"/>
    <n v="0.20735785953177258"/>
    <n v="110"/>
    <n v="1.1496655518394648E-2"/>
    <n v="7474"/>
    <n v="0.78114548494983282"/>
  </r>
  <r>
    <x v="119"/>
    <n v="728"/>
    <n v="679"/>
    <n v="1663"/>
    <n v="3"/>
    <n v="4341"/>
    <n v="0.23713355048859935"/>
    <n v="0.22117263843648208"/>
    <n v="0.54169381107491854"/>
    <n v="1671"/>
    <n v="0.54429967426710102"/>
    <n v="12"/>
    <n v="3.9087947882736158E-3"/>
    <n v="1390"/>
    <n v="0.45276872964169379"/>
  </r>
  <r>
    <x v="120"/>
    <n v="20855"/>
    <n v="27896"/>
    <n v="38070"/>
    <n v="188"/>
    <n v="134749"/>
    <n v="0.24020686239504269"/>
    <n v="0.3213047534582647"/>
    <n v="0.43848838414669261"/>
    <n v="59119"/>
    <n v="0.68092972898261939"/>
    <n v="1110"/>
    <n v="1.278492530608954E-2"/>
    <n v="26780"/>
    <n v="0.30845072044781791"/>
  </r>
  <r>
    <x v="121"/>
    <n v="6194"/>
    <n v="12547"/>
    <n v="25901"/>
    <n v="39"/>
    <n v="65505"/>
    <n v="0.13874826396666817"/>
    <n v="0.28105819631736928"/>
    <n v="0.58019353971596255"/>
    <n v="31237"/>
    <n v="0.69972223466690564"/>
    <n v="430"/>
    <n v="9.6321849379508093E-3"/>
    <n v="13014"/>
    <n v="0.29151919716858565"/>
  </r>
  <r>
    <x v="122"/>
    <n v="373"/>
    <n v="314"/>
    <n v="1587"/>
    <n v="1"/>
    <n v="2882"/>
    <n v="0.16402814423922604"/>
    <n v="0.13808267370272648"/>
    <n v="0.69788918205804751"/>
    <n v="462"/>
    <n v="0.20316622691292877"/>
    <n v="13"/>
    <n v="5.7167985927880386E-3"/>
    <n v="1800"/>
    <n v="0.79155672823218992"/>
  </r>
  <r>
    <x v="123"/>
    <n v="1884"/>
    <n v="1300"/>
    <n v="3425"/>
    <n v="18"/>
    <n v="9918"/>
    <n v="0.28506581933726738"/>
    <n v="0.19670146769556665"/>
    <n v="0.518232712967166"/>
    <n v="2661"/>
    <n v="0.40263277349069448"/>
    <n v="51"/>
    <n v="7.7167498865183841E-3"/>
    <n v="3915"/>
    <n v="0.59237403540626421"/>
  </r>
  <r>
    <x v="124"/>
    <n v="1253"/>
    <n v="551"/>
    <n v="2084"/>
    <n v="0"/>
    <n v="5936"/>
    <n v="0.32227366255144035"/>
    <n v="0.14171810699588477"/>
    <n v="0.53600823045267487"/>
    <n v="1256"/>
    <n v="0.32304526748971191"/>
    <n v="19"/>
    <n v="4.8868312757201649E-3"/>
    <n v="2613"/>
    <n v="0.67206790123456794"/>
  </r>
  <r>
    <x v="125"/>
    <n v="7919"/>
    <n v="7845"/>
    <n v="13533"/>
    <n v="914"/>
    <n v="45985"/>
    <n v="0.27030071338362288"/>
    <n v="0.26777485749394137"/>
    <n v="0.46192442912243575"/>
    <n v="11828"/>
    <n v="0.40372734409666516"/>
    <n v="279"/>
    <n v="9.5231593678533639E-3"/>
    <n v="18104"/>
    <n v="0.61794723009181829"/>
  </r>
  <r>
    <x v="126"/>
    <n v="1559"/>
    <n v="2199"/>
    <n v="8127"/>
    <n v="0"/>
    <n v="18346"/>
    <n v="0.13117374842238116"/>
    <n v="0.1850231384097602"/>
    <n v="0.68380311316785869"/>
    <n v="2386"/>
    <n v="0.20075725704669753"/>
    <n v="132"/>
    <n v="1.1106436684896928E-2"/>
    <n v="9367"/>
    <n v="0.78813630626840558"/>
  </r>
  <r>
    <x v="127"/>
    <n v="523"/>
    <n v="485"/>
    <n v="970"/>
    <n v="12"/>
    <n v="2893"/>
    <n v="0.26440849342770473"/>
    <n v="0.24519716885743176"/>
    <n v="0.49039433771486352"/>
    <n v="1182"/>
    <n v="0.59757330637007078"/>
    <n v="7"/>
    <n v="3.5389282103134479E-3"/>
    <n v="801"/>
    <n v="0.40495449949443885"/>
  </r>
  <r>
    <x v="128"/>
    <n v="9251"/>
    <n v="2897"/>
    <n v="0"/>
    <n v="0"/>
    <n v="17800"/>
    <n v="0.76152453078696081"/>
    <n v="0.23847546921303919"/>
    <n v="0"/>
    <n v="6314"/>
    <n v="0.51975633849193281"/>
    <n v="101"/>
    <n v="8.3141257820217324E-3"/>
    <n v="5733"/>
    <n v="0.47192953572604546"/>
  </r>
  <r>
    <x v="129"/>
    <n v="1014"/>
    <n v="1198"/>
    <n v="1309"/>
    <n v="1"/>
    <n v="4563"/>
    <n v="0.28798636750923035"/>
    <n v="0.34024424879295656"/>
    <n v="0.37176938369781309"/>
    <n v="2114"/>
    <n v="0.60039761431411531"/>
    <n v="16"/>
    <n v="4.5441635898892359E-3"/>
    <n v="1392"/>
    <n v="0.39534223232036353"/>
  </r>
  <r>
    <x v="130"/>
    <n v="204"/>
    <n v="302"/>
    <n v="421"/>
    <n v="1"/>
    <n v="1245"/>
    <n v="0.22006472491909385"/>
    <n v="0.32578209277238401"/>
    <n v="0.45415318230852214"/>
    <n v="561"/>
    <n v="0.60517799352750812"/>
    <n v="7"/>
    <n v="7.551240560949299E-3"/>
    <n v="360"/>
    <n v="0.38834951456310679"/>
  </r>
  <r>
    <x v="131"/>
    <n v="1982"/>
    <n v="1376"/>
    <n v="4827"/>
    <n v="0"/>
    <n v="12184"/>
    <n v="0.24215027489309712"/>
    <n v="0.16811240073304826"/>
    <n v="0.58973732437385462"/>
    <n v="2062"/>
    <n v="0.25192425167990223"/>
    <n v="69"/>
    <n v="8.4300549786194261E-3"/>
    <n v="6054"/>
    <n v="0.73964569334147834"/>
  </r>
  <r>
    <x v="132"/>
    <n v="634"/>
    <n v="785"/>
    <n v="2408"/>
    <n v="15"/>
    <n v="5400"/>
    <n v="0.16566501175855761"/>
    <n v="0.20512150509537497"/>
    <n v="0.6292134831460674"/>
    <n v="1388"/>
    <n v="0.36268617716226809"/>
    <n v="34"/>
    <n v="8.8842435327933112E-3"/>
    <n v="2420"/>
    <n v="0.63234909851058274"/>
  </r>
  <r>
    <x v="133"/>
    <n v="1286"/>
    <n v="978"/>
    <n v="2060"/>
    <n v="10"/>
    <n v="6032"/>
    <n v="0.29740980573543013"/>
    <n v="0.22617946345975948"/>
    <n v="0.47641073080481033"/>
    <n v="1488"/>
    <n v="0.3441258094357077"/>
    <n v="21"/>
    <n v="4.8566142460684551E-3"/>
    <n v="2825"/>
    <n v="0.65333024976873266"/>
  </r>
  <r>
    <x v="134"/>
    <n v="1247"/>
    <n v="1121"/>
    <n v="2047"/>
    <n v="1"/>
    <n v="6594"/>
    <n v="0.2824462061155153"/>
    <n v="0.25390713476783694"/>
    <n v="0.46364665911664782"/>
    <n v="2376"/>
    <n v="0.53816534541336358"/>
    <n v="36"/>
    <n v="8.154020385050963E-3"/>
    <n v="2004"/>
    <n v="0.4539071347678369"/>
  </r>
  <r>
    <x v="135"/>
    <n v="4257"/>
    <n v="4118"/>
    <n v="13488"/>
    <n v="9"/>
    <n v="30028"/>
    <n v="0.19471252801536842"/>
    <n v="0.18835475460824225"/>
    <n v="0.61693271737638933"/>
    <n v="8708"/>
    <n v="0.39829849517449573"/>
    <n v="195"/>
    <n v="8.9191785207885475E-3"/>
    <n v="12969"/>
    <n v="0.5931939806979829"/>
  </r>
  <r>
    <x v="136"/>
    <n v="3885"/>
    <n v="2714"/>
    <n v="9653"/>
    <n v="27"/>
    <n v="24449"/>
    <n v="0.23904750184592666"/>
    <n v="0.1669948314053655"/>
    <n v="0.59395766674870787"/>
    <n v="5318"/>
    <n v="0.32722126507506766"/>
    <n v="177"/>
    <n v="1.0890967265567314E-2"/>
    <n v="10784"/>
    <n v="0.66354910164902781"/>
  </r>
  <r>
    <x v="137"/>
    <n v="2415"/>
    <n v="2311"/>
    <n v="6178"/>
    <n v="10"/>
    <n v="16134"/>
    <n v="0.22147835656639767"/>
    <n v="0.21194057226705795"/>
    <n v="0.56658107116654444"/>
    <n v="2938"/>
    <n v="0.26944240645634632"/>
    <n v="103"/>
    <n v="9.4460748349229646E-3"/>
    <n v="7873"/>
    <n v="0.72202861335289803"/>
  </r>
  <r>
    <x v="138"/>
    <n v="1119"/>
    <n v="1948"/>
    <n v="4903"/>
    <n v="9"/>
    <n v="10693"/>
    <n v="0.14040150564617315"/>
    <n v="0.24441656210790463"/>
    <n v="0.61518193224592221"/>
    <n v="1550"/>
    <n v="0.19447929736511921"/>
    <n v="45"/>
    <n v="5.6461731493099125E-3"/>
    <n v="6384"/>
    <n v="0.80100376411543284"/>
  </r>
  <r>
    <x v="139"/>
    <n v="551"/>
    <n v="567"/>
    <n v="1945"/>
    <n v="14"/>
    <n v="4223"/>
    <n v="0.17988899771465883"/>
    <n v="0.18511263467189029"/>
    <n v="0.63499836761345085"/>
    <n v="952"/>
    <n v="0.31080639895527262"/>
    <n v="24"/>
    <n v="7.8354554358472089E-3"/>
    <n v="2101"/>
    <n v="0.68592882794645771"/>
  </r>
  <r>
    <x v="140"/>
    <n v="7620"/>
    <n v="6424"/>
    <n v="15923"/>
    <n v="80"/>
    <n v="42964"/>
    <n v="0.25427970767844627"/>
    <n v="0.21436913938665866"/>
    <n v="0.5313511529348951"/>
    <n v="11577"/>
    <n v="0.3863249574531985"/>
    <n v="328"/>
    <n v="1.0945373243901626E-2"/>
    <n v="18142"/>
    <n v="0.60539927253311976"/>
  </r>
  <r>
    <x v="141"/>
    <n v="715"/>
    <n v="526"/>
    <n v="2548"/>
    <n v="2"/>
    <n v="5582"/>
    <n v="0.18870414357350224"/>
    <n v="0.13882290841910794"/>
    <n v="0.67247294800738977"/>
    <n v="1409"/>
    <n v="0.37186592768540511"/>
    <n v="33"/>
    <n v="8.7094220110847196E-3"/>
    <n v="2349"/>
    <n v="0.61995249406175768"/>
  </r>
  <r>
    <x v="142"/>
    <n v="1282"/>
    <n v="1053"/>
    <n v="2105"/>
    <n v="4"/>
    <n v="6304"/>
    <n v="0.28873873873873873"/>
    <n v="0.23716216216216215"/>
    <n v="0.47409909909909909"/>
    <n v="2044"/>
    <n v="0.46036036036036038"/>
    <n v="30"/>
    <n v="6.7567567567567571E-3"/>
    <n v="2370"/>
    <n v="0.53378378378378377"/>
  </r>
  <r>
    <x v="143"/>
    <n v="3731"/>
    <n v="3557"/>
    <n v="8259"/>
    <n v="11"/>
    <n v="19201"/>
    <n v="0.23998199009455201"/>
    <n v="0.22879012028043996"/>
    <n v="0.531227889625008"/>
    <n v="2800"/>
    <n v="0.18009905447996399"/>
    <n v="108"/>
    <n v="6.9466778156557539E-3"/>
    <n v="12650"/>
    <n v="0.813661799704123"/>
  </r>
  <r>
    <x v="144"/>
    <n v="2038"/>
    <n v="2769"/>
    <n v="8092"/>
    <n v="6"/>
    <n v="18175"/>
    <n v="0.15799674393363827"/>
    <n v="0.21466780370571362"/>
    <n v="0.62733545236064814"/>
    <n v="4203"/>
    <n v="0.325839212342042"/>
    <n v="96"/>
    <n v="7.4424373982479265E-3"/>
    <n v="8606"/>
    <n v="0.66718350259710058"/>
  </r>
  <r>
    <x v="145"/>
    <n v="6716"/>
    <n v="5799"/>
    <n v="16829"/>
    <n v="10"/>
    <n v="42924"/>
    <n v="0.22887131952017448"/>
    <n v="0.19762131952017448"/>
    <n v="0.57350736095965105"/>
    <n v="5770"/>
    <n v="0.19663304252998909"/>
    <n v="411"/>
    <n v="1.4006270447110142E-2"/>
    <n v="23173"/>
    <n v="0.78970147219193021"/>
  </r>
  <r>
    <x v="146"/>
    <n v="11569"/>
    <n v="10424"/>
    <n v="29100"/>
    <n v="0"/>
    <n v="70006"/>
    <n v="0.22643023506155441"/>
    <n v="0.20402012017301782"/>
    <n v="0.5695496447654278"/>
    <n v="12683"/>
    <n v="0.24823361321511753"/>
    <n v="571"/>
    <n v="1.1175699215156674E-2"/>
    <n v="37839"/>
    <n v="0.74059068756972579"/>
  </r>
  <r>
    <x v="147"/>
    <n v="3186"/>
    <n v="2938"/>
    <n v="8018"/>
    <n v="47"/>
    <n v="21994"/>
    <n v="0.22528638099278744"/>
    <n v="0.20774996464432188"/>
    <n v="0.56696365436289065"/>
    <n v="4169"/>
    <n v="0.2947956441804554"/>
    <n v="117"/>
    <n v="8.2732286805260926E-3"/>
    <n v="9903"/>
    <n v="0.70025456088247773"/>
  </r>
  <r>
    <x v="148"/>
    <n v="493"/>
    <n v="745"/>
    <n v="1412"/>
    <n v="0"/>
    <n v="3785"/>
    <n v="0.18603773584905661"/>
    <n v="0.28113207547169811"/>
    <n v="0.53283018867924525"/>
    <n v="1468"/>
    <n v="0.55396226415094341"/>
    <n v="16"/>
    <n v="6.0377358490566035E-3"/>
    <n v="1166"/>
    <n v="0.44"/>
  </r>
  <r>
    <x v="149"/>
    <n v="2577"/>
    <n v="2562"/>
    <n v="4328"/>
    <n v="10"/>
    <n v="12990"/>
    <n v="0.2722087250448928"/>
    <n v="0.27062427379317627"/>
    <n v="0.45716700116193093"/>
    <n v="4743"/>
    <n v="0.50100348579275378"/>
    <n v="66"/>
    <n v="6.971585507552551E-3"/>
    <n v="4668"/>
    <n v="0.49308122953417133"/>
  </r>
  <r>
    <x v="150"/>
    <n v="2990"/>
    <n v="2107"/>
    <n v="7673"/>
    <n v="9"/>
    <n v="18104"/>
    <n v="0.2341425215348473"/>
    <n v="0.16499608457321849"/>
    <n v="0.60086139389193427"/>
    <n v="2688"/>
    <n v="0.21049334377447143"/>
    <n v="104"/>
    <n v="8.1440877055599069E-3"/>
    <n v="9987"/>
    <n v="0.78206734534064215"/>
  </r>
  <r>
    <x v="151"/>
    <n v="281"/>
    <n v="351"/>
    <n v="759"/>
    <n v="0"/>
    <n v="1705"/>
    <n v="0.20201294033069733"/>
    <n v="0.25233644859813081"/>
    <n v="0.54565061107117185"/>
    <n v="640"/>
    <n v="0.46010064701653486"/>
    <n v="3"/>
    <n v="2.1567217828900071E-3"/>
    <n v="748"/>
    <n v="0.53774263120057508"/>
  </r>
  <r>
    <x v="152"/>
    <n v="640"/>
    <n v="398"/>
    <n v="1247"/>
    <n v="0"/>
    <n v="3161"/>
    <n v="0.28008752735229758"/>
    <n v="0.17417943107221007"/>
    <n v="0.54573304157549229"/>
    <n v="689"/>
    <n v="0.30153172866520789"/>
    <n v="13"/>
    <n v="5.6892778993435445E-3"/>
    <n v="1583"/>
    <n v="0.69277899343544858"/>
  </r>
  <r>
    <x v="153"/>
    <n v="3900"/>
    <n v="3088"/>
    <n v="7822"/>
    <n v="6"/>
    <n v="20622"/>
    <n v="0.26333558406482105"/>
    <n v="0.20850776502363269"/>
    <n v="0.52815665091154629"/>
    <n v="2411"/>
    <n v="0.16279540850776503"/>
    <n v="183"/>
    <n v="1.2356515867656988E-2"/>
    <n v="12222"/>
    <n v="0.82525320729237006"/>
  </r>
  <r>
    <x v="154"/>
    <n v="11992"/>
    <n v="6467"/>
    <n v="18243"/>
    <n v="64"/>
    <n v="54749"/>
    <n v="0.32673968721050622"/>
    <n v="0.17620293172034221"/>
    <n v="0.49705738106915154"/>
    <n v="10680"/>
    <n v="0.29099231649501389"/>
    <n v="442"/>
    <n v="1.2042940439213123E-2"/>
    <n v="25644"/>
    <n v="0.69870851724701655"/>
  </r>
  <r>
    <x v="155"/>
    <n v="1036"/>
    <n v="555"/>
    <n v="1688"/>
    <n v="0"/>
    <n v="4661"/>
    <n v="0.31594998475144859"/>
    <n v="0.16925892040256177"/>
    <n v="0.51479109484598962"/>
    <n v="861"/>
    <n v="0.26258005489478498"/>
    <n v="16"/>
    <n v="4.8795364440378164E-3"/>
    <n v="2402"/>
    <n v="0.7325404086611772"/>
  </r>
  <r>
    <x v="156"/>
    <n v="1224"/>
    <n v="1233"/>
    <n v="2566"/>
    <n v="7"/>
    <n v="6819"/>
    <n v="0.24367907624925345"/>
    <n v="0.2454708341628509"/>
    <n v="0.51085008958789568"/>
    <n v="2160"/>
    <n v="0.43002189926338841"/>
    <n v="47"/>
    <n v="9.356957993231137E-3"/>
    <n v="2823"/>
    <n v="0.56201473223173404"/>
  </r>
  <r>
    <x v="157"/>
    <n v="1838"/>
    <n v="865"/>
    <n v="2061"/>
    <n v="6"/>
    <n v="6470"/>
    <n v="0.38581024349286314"/>
    <n v="0.18157010915197314"/>
    <n v="0.43261964735516373"/>
    <n v="2074"/>
    <n v="0.43534844668345929"/>
    <n v="31"/>
    <n v="6.5071368597816957E-3"/>
    <n v="2665"/>
    <n v="0.5594038623005877"/>
  </r>
  <r>
    <x v="158"/>
    <n v="3382"/>
    <n v="1596"/>
    <n v="4307"/>
    <n v="0"/>
    <n v="14469"/>
    <n v="0.36424340333871835"/>
    <n v="0.17189014539579967"/>
    <n v="0.46386645126548198"/>
    <n v="2395"/>
    <n v="0.25794291868605279"/>
    <n v="60"/>
    <n v="6.462035541195477E-3"/>
    <n v="6830"/>
    <n v="0.735595045772751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BB37860-D4DC-45DB-8305-20EBBAB4AEB3}" name="PivotTable1" cacheId="26"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3">
  <location ref="A3:E13" firstHeaderRow="0" firstDataRow="1" firstDataCol="1"/>
  <pivotFields count="15">
    <pivotField axis="axisRow" showAll="0" measureFilter="1">
      <items count="16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t="default"/>
      </items>
    </pivotField>
    <pivotField showAll="0"/>
    <pivotField showAll="0"/>
    <pivotField showAll="0"/>
    <pivotField showAll="0"/>
    <pivotField dataField="1" showAll="0"/>
    <pivotField dataField="1" showAll="0"/>
    <pivotField dataField="1" showAll="0"/>
    <pivotField dataField="1" showAll="0"/>
    <pivotField showAll="0"/>
    <pivotField showAll="0"/>
    <pivotField showAll="0"/>
    <pivotField showAll="0"/>
    <pivotField showAll="0"/>
    <pivotField showAll="0"/>
  </pivotFields>
  <rowFields count="1">
    <field x="0"/>
  </rowFields>
  <rowItems count="10">
    <i>
      <x v="24"/>
    </i>
    <i>
      <x v="27"/>
    </i>
    <i>
      <x v="30"/>
    </i>
    <i>
      <x v="32"/>
    </i>
    <i>
      <x v="43"/>
    </i>
    <i>
      <x v="57"/>
    </i>
    <i>
      <x v="59"/>
    </i>
    <i>
      <x v="66"/>
    </i>
    <i>
      <x v="74"/>
    </i>
    <i t="grand">
      <x/>
    </i>
  </rowItems>
  <colFields count="1">
    <field x="-2"/>
  </colFields>
  <colItems count="4">
    <i>
      <x/>
    </i>
    <i i="1">
      <x v="1"/>
    </i>
    <i i="2">
      <x v="2"/>
    </i>
    <i i="3">
      <x v="3"/>
    </i>
  </colItems>
  <dataFields count="4">
    <dataField name="Sum of Registered Voters" fld="5" baseField="0" baseItem="0"/>
    <dataField name="Sum of %Eday" fld="6" baseField="0" baseItem="0"/>
    <dataField name="Sum of %Advance" fld="7" baseField="0" baseItem="0"/>
    <dataField name="Sum of %Absent" fld="8" baseField="0" baseItem="0"/>
  </dataFields>
  <chartFormats count="4">
    <chartFormat chart="2" format="11" series="1">
      <pivotArea type="data" outline="0" fieldPosition="0">
        <references count="1">
          <reference field="4294967294" count="1" selected="0">
            <x v="0"/>
          </reference>
        </references>
      </pivotArea>
    </chartFormat>
    <chartFormat chart="2" format="12" series="1">
      <pivotArea type="data" outline="0" fieldPosition="0">
        <references count="1">
          <reference field="4294967294" count="1" selected="0">
            <x v="1"/>
          </reference>
        </references>
      </pivotArea>
    </chartFormat>
    <chartFormat chart="2" format="13" series="1">
      <pivotArea type="data" outline="0" fieldPosition="0">
        <references count="1">
          <reference field="4294967294" count="1" selected="0">
            <x v="2"/>
          </reference>
        </references>
      </pivotArea>
    </chartFormat>
    <chartFormat chart="2" format="14"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filters count="1">
    <filter fld="0" type="count" evalOrder="-1" id="10" iMeasureFld="0">
      <autoFilter ref="A1">
        <filterColumn colId="0">
          <top10 val="9" filterVal="9"/>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6190EB2-FF43-4B9B-814A-84836E5B1997}" name="PivotTable2" cacheId="26"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location ref="A3:D14" firstHeaderRow="0" firstDataRow="1" firstDataCol="1"/>
  <pivotFields count="15">
    <pivotField axis="axisRow" showAll="0" measureFilter="1">
      <items count="16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t="default"/>
      </items>
    </pivotField>
    <pivotField showAll="0"/>
    <pivotField showAll="0"/>
    <pivotField showAll="0"/>
    <pivotField showAll="0"/>
    <pivotField showAll="0"/>
    <pivotField showAll="0"/>
    <pivotField dataField="1" showAll="0"/>
    <pivotField showAll="0"/>
    <pivotField dataField="1" showAll="0"/>
    <pivotField showAll="0"/>
    <pivotField showAll="0"/>
    <pivotField showAll="0"/>
    <pivotField dataField="1" showAll="0"/>
    <pivotField showAll="0"/>
  </pivotFields>
  <rowFields count="1">
    <field x="0"/>
  </rowFields>
  <rowItems count="11">
    <i>
      <x v="24"/>
    </i>
    <i>
      <x v="28"/>
    </i>
    <i>
      <x v="32"/>
    </i>
    <i>
      <x v="43"/>
    </i>
    <i>
      <x v="66"/>
    </i>
    <i>
      <x v="69"/>
    </i>
    <i>
      <x v="105"/>
    </i>
    <i>
      <x v="120"/>
    </i>
    <i>
      <x v="129"/>
    </i>
    <i>
      <x v="130"/>
    </i>
    <i t="grand">
      <x/>
    </i>
  </rowItems>
  <colFields count="1">
    <field x="-2"/>
  </colFields>
  <colItems count="3">
    <i>
      <x/>
    </i>
    <i i="1">
      <x v="1"/>
    </i>
    <i i="2">
      <x v="2"/>
    </i>
  </colItems>
  <dataFields count="3">
    <dataField name="Sum of %Advance" fld="7" baseField="0" baseItem="0"/>
    <dataField name="Sum of Biden Total" fld="9" baseField="0" baseItem="0"/>
    <dataField name="Sum of Trump Total" fld="13" baseField="0" baseItem="0"/>
  </dataFields>
  <pivotTableStyleInfo name="PivotStyleLight16" showRowHeaders="1" showColHeaders="1" showRowStripes="0" showColStripes="0" showLastColumn="1"/>
  <filters count="1">
    <filter fld="0" type="count" evalOrder="-1" id="13"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www.glassdoor.com/blog/50-highest-paying-college-majors/" TargetMode="Externa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N19"/>
  <sheetViews>
    <sheetView zoomScale="95" zoomScaleNormal="95" workbookViewId="0">
      <selection activeCell="E9" sqref="E9"/>
    </sheetView>
  </sheetViews>
  <sheetFormatPr baseColWidth="10" defaultColWidth="8.83203125" defaultRowHeight="15" x14ac:dyDescent="0.2"/>
  <cols>
    <col min="2" max="2" width="17.5" customWidth="1"/>
    <col min="3" max="3" width="26.5" customWidth="1"/>
    <col min="5" max="5" width="16.5" style="16" customWidth="1"/>
    <col min="7" max="7" width="8.83203125" style="15"/>
    <col min="8" max="8" width="110" customWidth="1"/>
    <col min="10" max="12" width="8.83203125" style="2"/>
    <col min="13" max="13" width="18.83203125" style="2" customWidth="1"/>
  </cols>
  <sheetData>
    <row r="1" spans="2:14" x14ac:dyDescent="0.2">
      <c r="G1" s="8"/>
      <c r="H1" s="9"/>
    </row>
    <row r="2" spans="2:14" x14ac:dyDescent="0.2">
      <c r="B2" t="s">
        <v>401</v>
      </c>
      <c r="E2" s="19"/>
      <c r="G2" s="8"/>
      <c r="H2" s="9"/>
      <c r="M2" s="3"/>
      <c r="N2" s="2"/>
    </row>
    <row r="3" spans="2:14" ht="16" thickBot="1" x14ac:dyDescent="0.25">
      <c r="G3" s="8"/>
      <c r="H3" s="9"/>
      <c r="M3" s="20"/>
      <c r="N3" s="2"/>
    </row>
    <row r="4" spans="2:14" ht="16" thickBot="1" x14ac:dyDescent="0.25">
      <c r="B4" t="s">
        <v>0</v>
      </c>
      <c r="C4" s="46" t="s">
        <v>405</v>
      </c>
      <c r="D4" s="21" t="s">
        <v>2</v>
      </c>
      <c r="G4" s="10" t="s">
        <v>15</v>
      </c>
      <c r="H4" s="9" t="s">
        <v>21</v>
      </c>
      <c r="M4" s="20"/>
    </row>
    <row r="5" spans="2:14" ht="16" thickBot="1" x14ac:dyDescent="0.25">
      <c r="G5" s="10" t="s">
        <v>6</v>
      </c>
      <c r="H5" s="9" t="s">
        <v>18</v>
      </c>
      <c r="M5" s="20"/>
    </row>
    <row r="6" spans="2:14" ht="16" thickBot="1" x14ac:dyDescent="0.25">
      <c r="B6" t="s">
        <v>14</v>
      </c>
      <c r="C6" s="46" t="s">
        <v>406</v>
      </c>
      <c r="D6" s="21" t="s">
        <v>3</v>
      </c>
      <c r="G6" s="10" t="s">
        <v>8</v>
      </c>
      <c r="H6" s="9" t="s">
        <v>19</v>
      </c>
      <c r="M6" s="20"/>
    </row>
    <row r="7" spans="2:14" ht="16" thickBot="1" x14ac:dyDescent="0.25">
      <c r="G7" s="10" t="s">
        <v>8</v>
      </c>
      <c r="H7" s="9" t="s">
        <v>20</v>
      </c>
      <c r="M7" s="20"/>
    </row>
    <row r="8" spans="2:14" ht="16" thickBot="1" x14ac:dyDescent="0.25">
      <c r="B8" t="s">
        <v>1</v>
      </c>
      <c r="C8" s="22">
        <f ca="1">NOW()</f>
        <v>45719.899683217591</v>
      </c>
      <c r="G8" s="10"/>
      <c r="H8" s="9" t="s">
        <v>7</v>
      </c>
    </row>
    <row r="9" spans="2:14" ht="46.5" customHeight="1" x14ac:dyDescent="0.2">
      <c r="C9" s="72" t="s">
        <v>403</v>
      </c>
      <c r="G9" s="12" t="s">
        <v>9</v>
      </c>
      <c r="H9" s="13" t="s">
        <v>12</v>
      </c>
    </row>
    <row r="10" spans="2:14" ht="24" customHeight="1" x14ac:dyDescent="0.2">
      <c r="C10" s="74" t="s">
        <v>22</v>
      </c>
      <c r="E10" s="14">
        <v>45715.435582407408</v>
      </c>
      <c r="F10" t="s">
        <v>411</v>
      </c>
    </row>
    <row r="11" spans="2:14" ht="24" customHeight="1" x14ac:dyDescent="0.2">
      <c r="C11" s="74"/>
      <c r="H11" s="11"/>
    </row>
    <row r="12" spans="2:14" ht="15" customHeight="1" x14ac:dyDescent="0.2">
      <c r="C12" s="45" t="s">
        <v>13</v>
      </c>
      <c r="E12" s="14"/>
    </row>
    <row r="13" spans="2:14" ht="15" customHeight="1" x14ac:dyDescent="0.2">
      <c r="C13" s="70" t="str">
        <f ca="1">IFERROR(INFO("Directory"),"Directory path unknown")</f>
        <v>/Users/Shared/CIS2010/</v>
      </c>
    </row>
    <row r="14" spans="2:14" ht="15" customHeight="1" x14ac:dyDescent="0.2">
      <c r="C14" t="str">
        <f ca="1">IFERROR(IF(INFO("system")="pcdos","Directory path should be C:\Users\Public\CIS2010","Directory path should be /Users/Shared/CIS2010"),"You must install and use Excel Desktop starting session 2")</f>
        <v>Directory path should be /Users/Shared/CIS2010</v>
      </c>
    </row>
    <row r="15" spans="2:14" ht="15" customHeight="1" x14ac:dyDescent="0.2"/>
    <row r="16" spans="2:14" x14ac:dyDescent="0.2">
      <c r="C16" s="29" t="str">
        <f ca="1">IFERROR(_xlfn.XLOOKUP("OS",B4:B19,C4:C19),"Upgrade to Excel 2021")</f>
        <v>Macintosh (Intel) Version 13.7.1 (Build 22H221)</v>
      </c>
    </row>
    <row r="17" spans="2:4" x14ac:dyDescent="0.2">
      <c r="B17" s="17" t="s">
        <v>16</v>
      </c>
      <c r="C17" s="17" t="str">
        <f ca="1">INFO("release")</f>
        <v>16.93</v>
      </c>
      <c r="D17" s="18"/>
    </row>
    <row r="18" spans="2:4" x14ac:dyDescent="0.2">
      <c r="B18" s="1" t="s">
        <v>17</v>
      </c>
      <c r="C18" s="1" t="str">
        <f ca="1">INFO("OSVERSION")</f>
        <v>Macintosh (Intel) Version 13.7.1 (Build 22H221)</v>
      </c>
      <c r="D18" s="17"/>
    </row>
    <row r="19" spans="2:4" x14ac:dyDescent="0.2">
      <c r="B19" s="71" t="s">
        <v>402</v>
      </c>
    </row>
  </sheetData>
  <sheetProtection algorithmName="SHA-512" hashValue="WAGoKuIJf/cTfG/7VWO71xA/2YoCoWl2aOZjnuHW4gCPZBQsOeLLae4RkU9nm+Q30zheQr50p5BucJ20pCRH3w==" saltValue="pybvvR15ufqU2JNFXgTsNQ==" spinCount="100000" sheet="1" objects="1" scenarios="1"/>
  <mergeCells count="1">
    <mergeCell ref="C10:C11"/>
  </mergeCells>
  <conditionalFormatting sqref="C16">
    <cfRule type="cellIs" dxfId="0" priority="1" operator="notEqual">
      <formula>$C$18</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5" r:id="rId4" name="Button 11">
              <controlPr defaultSize="0" autoFill="0" autoPict="0" macro="[0]!StartWorkshop_Click">
                <anchor moveWithCells="1" sizeWithCells="1">
                  <from>
                    <xdr:col>2</xdr:col>
                    <xdr:colOff>63500</xdr:colOff>
                    <xdr:row>9</xdr:row>
                    <xdr:rowOff>38100</xdr:rowOff>
                  </from>
                  <to>
                    <xdr:col>2</xdr:col>
                    <xdr:colOff>1968500</xdr:colOff>
                    <xdr:row>10</xdr:row>
                    <xdr:rowOff>292100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B61E1-EBCA-4DFB-A706-6FBF61CF67FA}">
  <sheetPr codeName="Sheet3"/>
  <dimension ref="A1"/>
  <sheetViews>
    <sheetView workbookViewId="0"/>
  </sheetViews>
  <sheetFormatPr baseColWidth="10" defaultColWidth="8.83203125" defaultRowHeight="15" x14ac:dyDescent="0.2"/>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4FFA0-87FD-48A3-B4DC-296F13A4B56E}">
  <sheetPr codeName="Sheet8"/>
  <dimension ref="A1:Q765"/>
  <sheetViews>
    <sheetView workbookViewId="0">
      <selection activeCell="D2" sqref="D2"/>
    </sheetView>
  </sheetViews>
  <sheetFormatPr baseColWidth="10" defaultColWidth="8.83203125" defaultRowHeight="15" x14ac:dyDescent="0.2"/>
  <cols>
    <col min="2" max="2" width="11.5" bestFit="1" customWidth="1"/>
    <col min="3" max="4" width="13.33203125" bestFit="1" customWidth="1"/>
    <col min="5" max="5" width="10.5" bestFit="1" customWidth="1"/>
    <col min="6" max="7" width="15.5" customWidth="1"/>
    <col min="8" max="9" width="10.1640625" customWidth="1"/>
    <col min="10" max="11" width="10.33203125" style="49" customWidth="1"/>
    <col min="12" max="13" width="10.33203125" style="54" customWidth="1"/>
    <col min="14" max="14" width="10.33203125" style="52" customWidth="1"/>
    <col min="15" max="15" width="13.83203125" customWidth="1"/>
    <col min="17" max="17" width="31.5" customWidth="1"/>
  </cols>
  <sheetData>
    <row r="1" spans="1:17" x14ac:dyDescent="0.2">
      <c r="A1" t="s">
        <v>124</v>
      </c>
      <c r="B1" t="s">
        <v>126</v>
      </c>
      <c r="C1" t="s">
        <v>127</v>
      </c>
      <c r="D1" t="s">
        <v>128</v>
      </c>
      <c r="E1" t="s">
        <v>129</v>
      </c>
      <c r="F1" t="s">
        <v>287</v>
      </c>
      <c r="G1" t="s">
        <v>294</v>
      </c>
      <c r="H1" t="s">
        <v>293</v>
      </c>
      <c r="I1" t="s">
        <v>292</v>
      </c>
      <c r="J1" s="49" t="s">
        <v>288</v>
      </c>
      <c r="K1" s="49" t="s">
        <v>295</v>
      </c>
      <c r="L1" s="54" t="s">
        <v>289</v>
      </c>
      <c r="M1" s="54" t="s">
        <v>296</v>
      </c>
      <c r="N1" s="52" t="s">
        <v>300</v>
      </c>
      <c r="O1" s="52" t="s">
        <v>297</v>
      </c>
      <c r="Q1" s="75" t="s">
        <v>298</v>
      </c>
    </row>
    <row r="2" spans="1:17" x14ac:dyDescent="0.2">
      <c r="A2" t="s">
        <v>130</v>
      </c>
      <c r="B2" s="50">
        <v>6848</v>
      </c>
      <c r="C2" s="50">
        <v>1530</v>
      </c>
      <c r="D2" s="50">
        <v>0</v>
      </c>
      <c r="E2" s="50">
        <v>12</v>
      </c>
      <c r="F2" s="15">
        <v>11399</v>
      </c>
      <c r="G2" s="57">
        <v>0.8173788493673908</v>
      </c>
      <c r="H2" s="57">
        <v>0.18262115063260922</v>
      </c>
      <c r="I2" s="57">
        <v>0</v>
      </c>
      <c r="J2" s="51">
        <v>1784</v>
      </c>
      <c r="K2" s="58">
        <v>0.21293864884220579</v>
      </c>
      <c r="L2" s="55">
        <v>36</v>
      </c>
      <c r="M2" s="59">
        <v>4.2969682501790406E-3</v>
      </c>
      <c r="N2" s="53">
        <v>6570</v>
      </c>
      <c r="O2" s="60">
        <v>0.78419670565767485</v>
      </c>
      <c r="Q2" s="75"/>
    </row>
    <row r="3" spans="1:17" x14ac:dyDescent="0.2">
      <c r="A3" t="s">
        <v>131</v>
      </c>
      <c r="B3" s="50">
        <v>980</v>
      </c>
      <c r="C3" s="50">
        <v>297</v>
      </c>
      <c r="D3" s="50">
        <v>1877</v>
      </c>
      <c r="E3" s="50">
        <v>1</v>
      </c>
      <c r="F3" s="15">
        <v>4799</v>
      </c>
      <c r="G3" s="57">
        <v>0.310716550412175</v>
      </c>
      <c r="H3" s="57">
        <v>9.4166138237159164E-2</v>
      </c>
      <c r="I3" s="57">
        <v>0.59511731135066581</v>
      </c>
      <c r="J3" s="51">
        <v>825</v>
      </c>
      <c r="K3" s="58">
        <v>0.26157260621433098</v>
      </c>
      <c r="L3" s="55">
        <v>30</v>
      </c>
      <c r="M3" s="59">
        <v>9.5117311350665819E-3</v>
      </c>
      <c r="N3" s="53">
        <v>2300</v>
      </c>
      <c r="O3" s="60">
        <v>0.72923272035510467</v>
      </c>
      <c r="Q3" s="75"/>
    </row>
    <row r="4" spans="1:17" x14ac:dyDescent="0.2">
      <c r="A4" t="s">
        <v>132</v>
      </c>
      <c r="B4" s="50">
        <v>579</v>
      </c>
      <c r="C4" s="50">
        <v>687</v>
      </c>
      <c r="D4" s="50">
        <v>3399</v>
      </c>
      <c r="E4" s="50">
        <v>2</v>
      </c>
      <c r="F4" s="15">
        <v>6720</v>
      </c>
      <c r="G4" s="57">
        <v>0.12411575562700965</v>
      </c>
      <c r="H4" s="57">
        <v>0.1472668810289389</v>
      </c>
      <c r="I4" s="57">
        <v>0.72861736334405147</v>
      </c>
      <c r="J4" s="51">
        <v>625</v>
      </c>
      <c r="K4" s="58">
        <v>0.13397642015005359</v>
      </c>
      <c r="L4" s="55">
        <v>25</v>
      </c>
      <c r="M4" s="59">
        <v>5.3590568060021436E-3</v>
      </c>
      <c r="N4" s="53">
        <v>4017</v>
      </c>
      <c r="O4" s="60">
        <v>0.86109324758842443</v>
      </c>
      <c r="Q4" s="75"/>
    </row>
    <row r="5" spans="1:17" x14ac:dyDescent="0.2">
      <c r="A5" t="s">
        <v>133</v>
      </c>
      <c r="B5" s="50">
        <v>442</v>
      </c>
      <c r="C5" s="50">
        <v>374</v>
      </c>
      <c r="D5" s="50">
        <v>737</v>
      </c>
      <c r="E5" s="50">
        <v>2</v>
      </c>
      <c r="F5" s="15">
        <v>2258</v>
      </c>
      <c r="G5" s="57">
        <v>0.28461043142305215</v>
      </c>
      <c r="H5" s="57">
        <v>0.24082421120412106</v>
      </c>
      <c r="I5" s="57">
        <v>0.47456535737282679</v>
      </c>
      <c r="J5" s="51">
        <v>652</v>
      </c>
      <c r="K5" s="58">
        <v>0.41983258209916291</v>
      </c>
      <c r="L5" s="55">
        <v>6</v>
      </c>
      <c r="M5" s="59">
        <v>3.8634900193174502E-3</v>
      </c>
      <c r="N5" s="53">
        <v>897</v>
      </c>
      <c r="O5" s="60">
        <v>0.5775917578879588</v>
      </c>
      <c r="Q5" s="75"/>
    </row>
    <row r="6" spans="1:17" x14ac:dyDescent="0.2">
      <c r="A6" t="s">
        <v>134</v>
      </c>
      <c r="B6" s="50">
        <v>3463</v>
      </c>
      <c r="C6" s="50">
        <v>4328</v>
      </c>
      <c r="D6" s="50">
        <v>10455</v>
      </c>
      <c r="E6" s="50">
        <v>5</v>
      </c>
      <c r="F6" s="15">
        <v>26721</v>
      </c>
      <c r="G6" s="57">
        <v>0.18979502356680916</v>
      </c>
      <c r="H6" s="57">
        <v>0.23720267455880742</v>
      </c>
      <c r="I6" s="57">
        <v>0.57300230187438339</v>
      </c>
      <c r="J6" s="51">
        <v>9140</v>
      </c>
      <c r="K6" s="58">
        <v>0.50093171105995837</v>
      </c>
      <c r="L6" s="55">
        <v>208</v>
      </c>
      <c r="M6" s="59">
        <v>1.1399758851255069E-2</v>
      </c>
      <c r="N6" s="53">
        <v>8903</v>
      </c>
      <c r="O6" s="60">
        <v>0.48794256275348019</v>
      </c>
      <c r="Q6" s="75"/>
    </row>
    <row r="7" spans="1:17" x14ac:dyDescent="0.2">
      <c r="A7" t="s">
        <v>135</v>
      </c>
      <c r="B7" s="50">
        <v>1814</v>
      </c>
      <c r="C7" s="50">
        <v>1378</v>
      </c>
      <c r="D7" s="50">
        <v>5596</v>
      </c>
      <c r="E7" s="50">
        <v>13</v>
      </c>
      <c r="F7" s="15">
        <v>12898</v>
      </c>
      <c r="G7" s="57">
        <v>0.20641784251251707</v>
      </c>
      <c r="H7" s="57">
        <v>0.15680473372781065</v>
      </c>
      <c r="I7" s="57">
        <v>0.63677742375967228</v>
      </c>
      <c r="J7" s="51">
        <v>932</v>
      </c>
      <c r="K7" s="58">
        <v>0.10605370960400547</v>
      </c>
      <c r="L7" s="55">
        <v>74</v>
      </c>
      <c r="M7" s="59">
        <v>8.4205735093309062E-3</v>
      </c>
      <c r="N7" s="53">
        <v>7795</v>
      </c>
      <c r="O7" s="60">
        <v>0.88700500682749206</v>
      </c>
      <c r="Q7" s="75"/>
    </row>
    <row r="8" spans="1:17" x14ac:dyDescent="0.2">
      <c r="A8" t="s">
        <v>136</v>
      </c>
      <c r="B8" s="50">
        <v>7828</v>
      </c>
      <c r="C8" s="50">
        <v>7848</v>
      </c>
      <c r="D8" s="50">
        <v>22239</v>
      </c>
      <c r="E8" s="50">
        <v>6</v>
      </c>
      <c r="F8" s="15">
        <v>55605</v>
      </c>
      <c r="G8" s="57">
        <v>0.20646182249769221</v>
      </c>
      <c r="H8" s="57">
        <v>0.20698931821178954</v>
      </c>
      <c r="I8" s="57">
        <v>0.58654885929051825</v>
      </c>
      <c r="J8" s="51">
        <v>10453</v>
      </c>
      <c r="K8" s="58">
        <v>0.27569563497296584</v>
      </c>
      <c r="L8" s="55">
        <v>664</v>
      </c>
      <c r="M8" s="59">
        <v>1.7512857708031123E-2</v>
      </c>
      <c r="N8" s="53">
        <v>26804</v>
      </c>
      <c r="O8" s="60">
        <v>0.70694975603323218</v>
      </c>
      <c r="Q8" s="75"/>
    </row>
    <row r="9" spans="1:17" x14ac:dyDescent="0.2">
      <c r="A9" t="s">
        <v>137</v>
      </c>
      <c r="B9" s="50">
        <v>12630</v>
      </c>
      <c r="C9" s="50">
        <v>10607</v>
      </c>
      <c r="D9" s="50">
        <v>27197</v>
      </c>
      <c r="E9" s="50">
        <v>30</v>
      </c>
      <c r="F9" s="15">
        <v>74409</v>
      </c>
      <c r="G9" s="57">
        <v>0.25042629971844393</v>
      </c>
      <c r="H9" s="57">
        <v>0.21031447039695444</v>
      </c>
      <c r="I9" s="57">
        <v>0.53925922988460162</v>
      </c>
      <c r="J9" s="51">
        <v>12091</v>
      </c>
      <c r="K9" s="58">
        <v>0.23973906491652458</v>
      </c>
      <c r="L9" s="55">
        <v>701</v>
      </c>
      <c r="M9" s="59">
        <v>1.3899353610659476E-2</v>
      </c>
      <c r="N9" s="53">
        <v>37672</v>
      </c>
      <c r="O9" s="60">
        <v>0.7469564182892493</v>
      </c>
    </row>
    <row r="10" spans="1:17" x14ac:dyDescent="0.2">
      <c r="A10" t="s">
        <v>138</v>
      </c>
      <c r="B10" s="50">
        <v>798</v>
      </c>
      <c r="C10" s="50">
        <v>1251</v>
      </c>
      <c r="D10" s="50">
        <v>4514</v>
      </c>
      <c r="E10" s="50">
        <v>1</v>
      </c>
      <c r="F10" s="15">
        <v>9854</v>
      </c>
      <c r="G10" s="57">
        <v>0.12159073594392808</v>
      </c>
      <c r="H10" s="57">
        <v>0.19061404845345117</v>
      </c>
      <c r="I10" s="57">
        <v>0.6877952156026208</v>
      </c>
      <c r="J10" s="51">
        <v>2393</v>
      </c>
      <c r="K10" s="58">
        <v>0.36461983848849611</v>
      </c>
      <c r="L10" s="55">
        <v>60</v>
      </c>
      <c r="M10" s="59">
        <v>9.142160597287825E-3</v>
      </c>
      <c r="N10" s="53">
        <v>4111</v>
      </c>
      <c r="O10" s="60">
        <v>0.62639037025750421</v>
      </c>
    </row>
    <row r="11" spans="1:17" x14ac:dyDescent="0.2">
      <c r="A11" t="s">
        <v>139</v>
      </c>
      <c r="B11" s="50">
        <v>2189</v>
      </c>
      <c r="C11" s="50">
        <v>1125</v>
      </c>
      <c r="D11" s="50">
        <v>4418</v>
      </c>
      <c r="E11" s="50">
        <v>11</v>
      </c>
      <c r="F11" s="15">
        <v>11275</v>
      </c>
      <c r="G11" s="57">
        <v>0.28310915675116399</v>
      </c>
      <c r="H11" s="57">
        <v>0.14549922400413864</v>
      </c>
      <c r="I11" s="57">
        <v>0.57139161924469739</v>
      </c>
      <c r="J11" s="51">
        <v>1269</v>
      </c>
      <c r="K11" s="58">
        <v>0.1641231246766684</v>
      </c>
      <c r="L11" s="55">
        <v>55</v>
      </c>
      <c r="M11" s="59">
        <v>7.1132953957578895E-3</v>
      </c>
      <c r="N11" s="53">
        <v>6419</v>
      </c>
      <c r="O11" s="60">
        <v>0.83018623900672528</v>
      </c>
    </row>
    <row r="12" spans="1:17" x14ac:dyDescent="0.2">
      <c r="A12" t="s">
        <v>140</v>
      </c>
      <c r="B12" s="50">
        <v>16904</v>
      </c>
      <c r="C12" s="50">
        <v>19796</v>
      </c>
      <c r="D12" s="50">
        <v>33840</v>
      </c>
      <c r="E12" s="50">
        <v>174</v>
      </c>
      <c r="F12" s="15">
        <v>107979</v>
      </c>
      <c r="G12" s="57">
        <v>0.23963708534165012</v>
      </c>
      <c r="H12" s="57">
        <v>0.28063510065211228</v>
      </c>
      <c r="I12" s="57">
        <v>0.4797278140062376</v>
      </c>
      <c r="J12" s="51">
        <v>43408</v>
      </c>
      <c r="K12" s="58">
        <v>0.61536716756450238</v>
      </c>
      <c r="L12" s="55">
        <v>747</v>
      </c>
      <c r="M12" s="59">
        <v>1.0589736319818542E-2</v>
      </c>
      <c r="N12" s="53">
        <v>26559</v>
      </c>
      <c r="O12" s="60">
        <v>0.37650978168415083</v>
      </c>
    </row>
    <row r="13" spans="1:17" x14ac:dyDescent="0.2">
      <c r="A13" t="s">
        <v>141</v>
      </c>
      <c r="B13" s="50">
        <v>1257</v>
      </c>
      <c r="C13" s="50">
        <v>1053</v>
      </c>
      <c r="D13" s="50">
        <v>3396</v>
      </c>
      <c r="E13" s="50">
        <v>2</v>
      </c>
      <c r="F13" s="15">
        <v>7516</v>
      </c>
      <c r="G13" s="57">
        <v>0.22029442691903259</v>
      </c>
      <c r="H13" s="57">
        <v>0.18454258675078863</v>
      </c>
      <c r="I13" s="57">
        <v>0.59516298633017872</v>
      </c>
      <c r="J13" s="51">
        <v>1312</v>
      </c>
      <c r="K13" s="58">
        <v>0.22993340343498073</v>
      </c>
      <c r="L13" s="55">
        <v>67</v>
      </c>
      <c r="M13" s="59">
        <v>1.1742025937609533E-2</v>
      </c>
      <c r="N13" s="53">
        <v>4329</v>
      </c>
      <c r="O13" s="60">
        <v>0.75867507886435326</v>
      </c>
    </row>
    <row r="14" spans="1:17" x14ac:dyDescent="0.2">
      <c r="A14" t="s">
        <v>142</v>
      </c>
      <c r="B14" s="50">
        <v>2162</v>
      </c>
      <c r="C14" s="50">
        <v>909</v>
      </c>
      <c r="D14" s="50">
        <v>4678</v>
      </c>
      <c r="E14" s="50">
        <v>0</v>
      </c>
      <c r="F14" s="15">
        <v>11888</v>
      </c>
      <c r="G14" s="57">
        <v>0.27900374241837655</v>
      </c>
      <c r="H14" s="57">
        <v>0.1173054587688734</v>
      </c>
      <c r="I14" s="57">
        <v>0.60369079881275001</v>
      </c>
      <c r="J14" s="51">
        <v>700</v>
      </c>
      <c r="K14" s="58">
        <v>9.0334236675700091E-2</v>
      </c>
      <c r="L14" s="55">
        <v>56</v>
      </c>
      <c r="M14" s="59">
        <v>7.2267389340560069E-3</v>
      </c>
      <c r="N14" s="53">
        <v>6993</v>
      </c>
      <c r="O14" s="60">
        <v>0.90243902439024393</v>
      </c>
    </row>
    <row r="15" spans="1:17" x14ac:dyDescent="0.2">
      <c r="A15" t="s">
        <v>143</v>
      </c>
      <c r="B15" s="50">
        <v>1961</v>
      </c>
      <c r="C15" s="50">
        <v>1654</v>
      </c>
      <c r="D15" s="50">
        <v>3486</v>
      </c>
      <c r="E15" s="50">
        <v>0</v>
      </c>
      <c r="F15" s="15">
        <v>11154</v>
      </c>
      <c r="G15" s="57">
        <v>0.27615828756513167</v>
      </c>
      <c r="H15" s="57">
        <v>0.23292494014927476</v>
      </c>
      <c r="I15" s="57">
        <v>0.49091677228559361</v>
      </c>
      <c r="J15" s="51">
        <v>2791</v>
      </c>
      <c r="K15" s="58">
        <v>0.39304323334741587</v>
      </c>
      <c r="L15" s="55">
        <v>49</v>
      </c>
      <c r="M15" s="59">
        <v>6.9004365582312349E-3</v>
      </c>
      <c r="N15" s="53">
        <v>4261</v>
      </c>
      <c r="O15" s="60">
        <v>0.60005633009435289</v>
      </c>
    </row>
    <row r="16" spans="1:17" x14ac:dyDescent="0.2">
      <c r="A16" t="s">
        <v>144</v>
      </c>
      <c r="B16" s="50">
        <v>3525</v>
      </c>
      <c r="C16" s="50">
        <v>3760</v>
      </c>
      <c r="D16" s="50">
        <v>14043</v>
      </c>
      <c r="E16" s="50">
        <v>7</v>
      </c>
      <c r="F16" s="15">
        <v>30608</v>
      </c>
      <c r="G16" s="57">
        <v>0.16527569392348088</v>
      </c>
      <c r="H16" s="57">
        <v>0.17629407351837958</v>
      </c>
      <c r="I16" s="57">
        <v>0.65843023255813948</v>
      </c>
      <c r="J16" s="51">
        <v>6738</v>
      </c>
      <c r="K16" s="58">
        <v>0.31592273068267068</v>
      </c>
      <c r="L16" s="55">
        <v>357</v>
      </c>
      <c r="M16" s="59">
        <v>1.6738559639909976E-2</v>
      </c>
      <c r="N16" s="53">
        <v>14240</v>
      </c>
      <c r="O16" s="60">
        <v>0.66766691672918232</v>
      </c>
    </row>
    <row r="17" spans="1:15" x14ac:dyDescent="0.2">
      <c r="A17" t="s">
        <v>145</v>
      </c>
      <c r="B17" s="50">
        <v>9260</v>
      </c>
      <c r="C17" s="50">
        <v>6423</v>
      </c>
      <c r="D17" s="50">
        <v>14348</v>
      </c>
      <c r="E17" s="50">
        <v>59</v>
      </c>
      <c r="F17" s="15">
        <v>44738</v>
      </c>
      <c r="G17" s="57">
        <v>0.30834804035829644</v>
      </c>
      <c r="H17" s="57">
        <v>0.21387899170856781</v>
      </c>
      <c r="I17" s="57">
        <v>0.47777296793313578</v>
      </c>
      <c r="J17" s="51">
        <v>11248</v>
      </c>
      <c r="K17" s="58">
        <v>0.3745463021544404</v>
      </c>
      <c r="L17" s="55">
        <v>455</v>
      </c>
      <c r="M17" s="59">
        <v>1.5151010622356898E-2</v>
      </c>
      <c r="N17" s="53">
        <v>18387</v>
      </c>
      <c r="O17" s="60">
        <v>0.61226732376544235</v>
      </c>
    </row>
    <row r="18" spans="1:15" x14ac:dyDescent="0.2">
      <c r="A18" t="s">
        <v>146</v>
      </c>
      <c r="B18" s="50">
        <v>3464</v>
      </c>
      <c r="C18" s="50">
        <v>2529</v>
      </c>
      <c r="D18" s="50">
        <v>4690</v>
      </c>
      <c r="E18" s="50">
        <v>0</v>
      </c>
      <c r="F18" s="15">
        <v>16556</v>
      </c>
      <c r="G18" s="57">
        <v>0.32425348684826361</v>
      </c>
      <c r="H18" s="57">
        <v>0.23673125526537489</v>
      </c>
      <c r="I18" s="57">
        <v>0.43901525788636153</v>
      </c>
      <c r="J18" s="51">
        <v>5208</v>
      </c>
      <c r="K18" s="58">
        <v>0.48750351024992977</v>
      </c>
      <c r="L18" s="55">
        <v>75</v>
      </c>
      <c r="M18" s="59">
        <v>7.0204998595900028E-3</v>
      </c>
      <c r="N18" s="53">
        <v>5400</v>
      </c>
      <c r="O18" s="60">
        <v>0.50547598989048015</v>
      </c>
    </row>
    <row r="19" spans="1:15" x14ac:dyDescent="0.2">
      <c r="A19" t="s">
        <v>147</v>
      </c>
      <c r="B19" s="50">
        <v>1222</v>
      </c>
      <c r="C19" s="50">
        <v>2129</v>
      </c>
      <c r="D19" s="50">
        <v>8417</v>
      </c>
      <c r="E19" s="50">
        <v>3</v>
      </c>
      <c r="F19" s="15">
        <v>17154</v>
      </c>
      <c r="G19" s="57">
        <v>0.10384092454112849</v>
      </c>
      <c r="H19" s="57">
        <v>0.18091434398368456</v>
      </c>
      <c r="I19" s="57">
        <v>0.71524473147518697</v>
      </c>
      <c r="J19" s="51">
        <v>3274</v>
      </c>
      <c r="K19" s="58">
        <v>0.27821210061182866</v>
      </c>
      <c r="L19" s="55">
        <v>91</v>
      </c>
      <c r="M19" s="59">
        <v>7.7328348062542492E-3</v>
      </c>
      <c r="N19" s="53">
        <v>8406</v>
      </c>
      <c r="O19" s="60">
        <v>0.71430999320190347</v>
      </c>
    </row>
    <row r="20" spans="1:15" x14ac:dyDescent="0.2">
      <c r="A20" t="s">
        <v>148</v>
      </c>
      <c r="B20" s="50">
        <v>637</v>
      </c>
      <c r="C20" s="50">
        <v>589</v>
      </c>
      <c r="D20" s="50">
        <v>972</v>
      </c>
      <c r="E20" s="50">
        <v>0</v>
      </c>
      <c r="F20" s="15">
        <v>3184</v>
      </c>
      <c r="G20" s="57">
        <v>0.28980891719745222</v>
      </c>
      <c r="H20" s="57">
        <v>0.26797088262056418</v>
      </c>
      <c r="I20" s="57">
        <v>0.4422202001819836</v>
      </c>
      <c r="J20" s="51">
        <v>1263</v>
      </c>
      <c r="K20" s="58">
        <v>0.57461328480436757</v>
      </c>
      <c r="L20" s="55">
        <v>12</v>
      </c>
      <c r="M20" s="59">
        <v>5.4595086442220204E-3</v>
      </c>
      <c r="N20" s="53">
        <v>923</v>
      </c>
      <c r="O20" s="60">
        <v>0.41992720655141036</v>
      </c>
    </row>
    <row r="21" spans="1:15" x14ac:dyDescent="0.2">
      <c r="A21" t="s">
        <v>149</v>
      </c>
      <c r="B21" s="50">
        <v>4956</v>
      </c>
      <c r="C21" s="50">
        <v>5032</v>
      </c>
      <c r="D21" s="50">
        <v>13691</v>
      </c>
      <c r="E21" s="50">
        <v>7</v>
      </c>
      <c r="F21" s="15">
        <v>34950</v>
      </c>
      <c r="G21" s="57">
        <v>0.20929937919675662</v>
      </c>
      <c r="H21" s="57">
        <v>0.21250897419654546</v>
      </c>
      <c r="I21" s="57">
        <v>0.57819164660669797</v>
      </c>
      <c r="J21" s="51">
        <v>7967</v>
      </c>
      <c r="K21" s="58">
        <v>0.33645846530681195</v>
      </c>
      <c r="L21" s="55">
        <v>470</v>
      </c>
      <c r="M21" s="59">
        <v>1.9848811182904682E-2</v>
      </c>
      <c r="N21" s="53">
        <v>15249</v>
      </c>
      <c r="O21" s="60">
        <v>0.64398834410236916</v>
      </c>
    </row>
    <row r="22" spans="1:15" x14ac:dyDescent="0.2">
      <c r="A22" t="s">
        <v>150</v>
      </c>
      <c r="B22" s="50">
        <v>638</v>
      </c>
      <c r="C22" s="50">
        <v>755</v>
      </c>
      <c r="D22" s="50">
        <v>3037</v>
      </c>
      <c r="E22" s="50">
        <v>1</v>
      </c>
      <c r="F22" s="15">
        <v>6300</v>
      </c>
      <c r="G22" s="57">
        <v>0.14401805869074491</v>
      </c>
      <c r="H22" s="57">
        <v>0.17042889390519186</v>
      </c>
      <c r="I22" s="57">
        <v>0.6855530474040632</v>
      </c>
      <c r="J22" s="51">
        <v>1269</v>
      </c>
      <c r="K22" s="58">
        <v>0.28645598194130928</v>
      </c>
      <c r="L22" s="55">
        <v>29</v>
      </c>
      <c r="M22" s="59">
        <v>6.5462753950338596E-3</v>
      </c>
      <c r="N22" s="53">
        <v>3133</v>
      </c>
      <c r="O22" s="60">
        <v>0.70722347629796845</v>
      </c>
    </row>
    <row r="23" spans="1:15" x14ac:dyDescent="0.2">
      <c r="A23" t="s">
        <v>151</v>
      </c>
      <c r="B23" s="50">
        <v>14356</v>
      </c>
      <c r="C23" s="50">
        <v>9456</v>
      </c>
      <c r="D23" s="50">
        <v>30615</v>
      </c>
      <c r="E23" s="50">
        <v>45</v>
      </c>
      <c r="F23" s="15">
        <v>83847</v>
      </c>
      <c r="G23" s="57">
        <v>0.2637661454792658</v>
      </c>
      <c r="H23" s="57">
        <v>0.17373729950208536</v>
      </c>
      <c r="I23" s="57">
        <v>0.56249655501864881</v>
      </c>
      <c r="J23" s="51">
        <v>16236</v>
      </c>
      <c r="K23" s="58">
        <v>0.29830782516030646</v>
      </c>
      <c r="L23" s="55">
        <v>760</v>
      </c>
      <c r="M23" s="59">
        <v>1.3963657743399416E-2</v>
      </c>
      <c r="N23" s="53">
        <v>37476</v>
      </c>
      <c r="O23" s="60">
        <v>0.68855531262057434</v>
      </c>
    </row>
    <row r="24" spans="1:15" x14ac:dyDescent="0.2">
      <c r="A24" t="s">
        <v>152</v>
      </c>
      <c r="B24" s="50">
        <v>6324</v>
      </c>
      <c r="C24" s="50">
        <v>5160</v>
      </c>
      <c r="D24" s="50">
        <v>21084</v>
      </c>
      <c r="E24" s="50">
        <v>25</v>
      </c>
      <c r="F24" s="15">
        <v>45715</v>
      </c>
      <c r="G24" s="57">
        <v>0.1941783345615328</v>
      </c>
      <c r="H24" s="57">
        <v>0.15843773028739869</v>
      </c>
      <c r="I24" s="57">
        <v>0.64738393515106851</v>
      </c>
      <c r="J24" s="51">
        <v>6932</v>
      </c>
      <c r="K24" s="58">
        <v>0.2128469663473348</v>
      </c>
      <c r="L24" s="55">
        <v>494</v>
      </c>
      <c r="M24" s="59">
        <v>1.5168263325964137E-2</v>
      </c>
      <c r="N24" s="53">
        <v>25167</v>
      </c>
      <c r="O24" s="60">
        <v>0.77275239498894621</v>
      </c>
    </row>
    <row r="25" spans="1:15" x14ac:dyDescent="0.2">
      <c r="A25" t="s">
        <v>153</v>
      </c>
      <c r="B25" s="50">
        <v>1374</v>
      </c>
      <c r="C25" s="50">
        <v>698</v>
      </c>
      <c r="D25" s="50">
        <v>2494</v>
      </c>
      <c r="E25" s="50">
        <v>2</v>
      </c>
      <c r="F25" s="15">
        <v>6552</v>
      </c>
      <c r="G25" s="57">
        <v>0.30091984231274638</v>
      </c>
      <c r="H25" s="57">
        <v>0.15286903197547086</v>
      </c>
      <c r="I25" s="57">
        <v>0.54621112571178276</v>
      </c>
      <c r="J25" s="51">
        <v>1105</v>
      </c>
      <c r="K25" s="58">
        <v>0.24200613228208498</v>
      </c>
      <c r="L25" s="55">
        <v>44</v>
      </c>
      <c r="M25" s="59">
        <v>9.6364432763907139E-3</v>
      </c>
      <c r="N25" s="53">
        <v>3419</v>
      </c>
      <c r="O25" s="60">
        <v>0.74879544459045111</v>
      </c>
    </row>
    <row r="26" spans="1:15" x14ac:dyDescent="0.2">
      <c r="A26" t="s">
        <v>154</v>
      </c>
      <c r="B26" s="50">
        <v>37186</v>
      </c>
      <c r="C26" s="50">
        <v>41318</v>
      </c>
      <c r="D26" s="50">
        <v>54613</v>
      </c>
      <c r="E26" s="50">
        <v>291</v>
      </c>
      <c r="F26" s="15">
        <v>200388</v>
      </c>
      <c r="G26" s="57">
        <v>0.27934824252349438</v>
      </c>
      <c r="H26" s="57">
        <v>0.31038860551244396</v>
      </c>
      <c r="I26" s="57">
        <v>0.41026315196406171</v>
      </c>
      <c r="J26" s="51">
        <v>78247</v>
      </c>
      <c r="K26" s="58">
        <v>0.5878062155847863</v>
      </c>
      <c r="L26" s="55">
        <v>1929</v>
      </c>
      <c r="M26" s="59">
        <v>1.449101166642878E-2</v>
      </c>
      <c r="N26" s="53">
        <v>53232</v>
      </c>
      <c r="O26" s="60">
        <v>0.39988881960981693</v>
      </c>
    </row>
    <row r="27" spans="1:15" x14ac:dyDescent="0.2">
      <c r="A27" t="s">
        <v>155</v>
      </c>
      <c r="B27" s="50">
        <v>458</v>
      </c>
      <c r="C27" s="50">
        <v>307</v>
      </c>
      <c r="D27" s="50">
        <v>813</v>
      </c>
      <c r="E27" s="50">
        <v>4</v>
      </c>
      <c r="F27" s="51">
        <v>3132</v>
      </c>
      <c r="G27" s="57">
        <v>0.2902408111533587</v>
      </c>
      <c r="H27" s="57">
        <v>0.19455006337135614</v>
      </c>
      <c r="I27" s="57">
        <v>0.51520912547528519</v>
      </c>
      <c r="J27" s="51">
        <v>667</v>
      </c>
      <c r="K27" s="58">
        <v>0.42268694550063374</v>
      </c>
      <c r="L27" s="55">
        <v>35</v>
      </c>
      <c r="M27" s="59">
        <v>2.2179974651457542E-2</v>
      </c>
      <c r="N27" s="53">
        <v>880</v>
      </c>
      <c r="O27" s="60">
        <v>0.55766793409378956</v>
      </c>
    </row>
    <row r="28" spans="1:15" x14ac:dyDescent="0.2">
      <c r="A28" t="s">
        <v>156</v>
      </c>
      <c r="B28" s="50">
        <v>2880</v>
      </c>
      <c r="C28" s="50">
        <v>1776</v>
      </c>
      <c r="D28" s="50">
        <v>5386</v>
      </c>
      <c r="E28" s="50">
        <v>8</v>
      </c>
      <c r="F28" s="15">
        <v>14143</v>
      </c>
      <c r="G28" s="57">
        <v>0.28679545907189802</v>
      </c>
      <c r="H28" s="57">
        <v>0.17685719976100378</v>
      </c>
      <c r="I28" s="57">
        <v>0.53634734116709815</v>
      </c>
      <c r="J28" s="51">
        <v>1854</v>
      </c>
      <c r="K28" s="58">
        <v>0.18462457677753435</v>
      </c>
      <c r="L28" s="55">
        <v>132</v>
      </c>
      <c r="M28" s="59">
        <v>1.314479187412866E-2</v>
      </c>
      <c r="N28" s="53">
        <v>8064</v>
      </c>
      <c r="O28" s="60">
        <v>0.80302728540131452</v>
      </c>
    </row>
    <row r="29" spans="1:15" x14ac:dyDescent="0.2">
      <c r="A29" t="s">
        <v>157</v>
      </c>
      <c r="B29" s="50">
        <v>31266</v>
      </c>
      <c r="C29" s="50">
        <v>37527</v>
      </c>
      <c r="D29" s="50">
        <v>75996</v>
      </c>
      <c r="E29" s="50">
        <v>26</v>
      </c>
      <c r="F29" s="15">
        <v>190531</v>
      </c>
      <c r="G29" s="57">
        <v>0.21594181878457619</v>
      </c>
      <c r="H29" s="57">
        <v>0.2591840540372542</v>
      </c>
      <c r="I29" s="57">
        <v>0.52487412717816961</v>
      </c>
      <c r="J29" s="51">
        <v>42779</v>
      </c>
      <c r="K29" s="58">
        <v>0.29545752785087265</v>
      </c>
      <c r="L29" s="55">
        <v>2451</v>
      </c>
      <c r="M29" s="59">
        <v>1.6928081553156664E-2</v>
      </c>
      <c r="N29" s="53">
        <v>99585</v>
      </c>
      <c r="O29" s="60">
        <v>0.6877939622485133</v>
      </c>
    </row>
    <row r="30" spans="1:15" x14ac:dyDescent="0.2">
      <c r="A30" t="s">
        <v>158</v>
      </c>
      <c r="B30" s="50">
        <v>9002</v>
      </c>
      <c r="C30" s="50">
        <v>18620</v>
      </c>
      <c r="D30" s="50">
        <v>23667</v>
      </c>
      <c r="E30" s="50">
        <v>57</v>
      </c>
      <c r="F30" s="15">
        <v>76504</v>
      </c>
      <c r="G30" s="57">
        <v>0.17551521768800327</v>
      </c>
      <c r="H30" s="57">
        <v>0.36304080797052002</v>
      </c>
      <c r="I30" s="57">
        <v>0.46144397434147671</v>
      </c>
      <c r="J30" s="51">
        <v>36055</v>
      </c>
      <c r="K30" s="58">
        <v>0.70297724658308802</v>
      </c>
      <c r="L30" s="55">
        <v>841</v>
      </c>
      <c r="M30" s="59">
        <v>1.6397278168808125E-2</v>
      </c>
      <c r="N30" s="53">
        <v>14450</v>
      </c>
      <c r="O30" s="60">
        <v>0.28173682466025851</v>
      </c>
    </row>
    <row r="31" spans="1:15" x14ac:dyDescent="0.2">
      <c r="A31" t="s">
        <v>159</v>
      </c>
      <c r="B31" s="50">
        <v>301</v>
      </c>
      <c r="C31" s="50">
        <v>404</v>
      </c>
      <c r="D31" s="50">
        <v>730</v>
      </c>
      <c r="E31" s="50">
        <v>0</v>
      </c>
      <c r="F31" s="15">
        <v>2053</v>
      </c>
      <c r="G31" s="57">
        <v>0.2097560975609756</v>
      </c>
      <c r="H31" s="57">
        <v>0.28153310104529616</v>
      </c>
      <c r="I31" s="57">
        <v>0.50871080139372826</v>
      </c>
      <c r="J31" s="51">
        <v>791</v>
      </c>
      <c r="K31" s="58">
        <v>0.551219512195122</v>
      </c>
      <c r="L31" s="55">
        <v>7</v>
      </c>
      <c r="M31" s="59">
        <v>4.8780487804878049E-3</v>
      </c>
      <c r="N31" s="53">
        <v>637</v>
      </c>
      <c r="O31" s="60">
        <v>0.44390243902439025</v>
      </c>
    </row>
    <row r="32" spans="1:15" x14ac:dyDescent="0.2">
      <c r="A32" t="s">
        <v>160</v>
      </c>
      <c r="B32" s="50">
        <v>20317</v>
      </c>
      <c r="C32" s="50">
        <v>31782</v>
      </c>
      <c r="D32" s="50">
        <v>59732</v>
      </c>
      <c r="E32" s="50">
        <v>499</v>
      </c>
      <c r="F32" s="15">
        <v>193326</v>
      </c>
      <c r="G32" s="57">
        <v>0.18167592170328442</v>
      </c>
      <c r="H32" s="57">
        <v>0.28419668964777206</v>
      </c>
      <c r="I32" s="57">
        <v>0.53412738864894349</v>
      </c>
      <c r="J32" s="51">
        <v>95466</v>
      </c>
      <c r="K32" s="58">
        <v>0.85366311666711381</v>
      </c>
      <c r="L32" s="55">
        <v>1053</v>
      </c>
      <c r="M32" s="59">
        <v>9.4159937763232011E-3</v>
      </c>
      <c r="N32" s="53">
        <v>15811</v>
      </c>
      <c r="O32" s="60">
        <v>0.14138297967468769</v>
      </c>
    </row>
    <row r="33" spans="1:15" x14ac:dyDescent="0.2">
      <c r="A33" t="s">
        <v>161</v>
      </c>
      <c r="B33" s="50">
        <v>853</v>
      </c>
      <c r="C33" s="50">
        <v>367</v>
      </c>
      <c r="D33" s="50">
        <v>1640</v>
      </c>
      <c r="E33" s="50">
        <v>1</v>
      </c>
      <c r="F33" s="15">
        <v>4345</v>
      </c>
      <c r="G33" s="57">
        <v>0.29825174825174827</v>
      </c>
      <c r="H33" s="57">
        <v>0.12832167832167832</v>
      </c>
      <c r="I33" s="57">
        <v>0.57342657342657344</v>
      </c>
      <c r="J33" s="51">
        <v>744</v>
      </c>
      <c r="K33" s="58">
        <v>0.26013986013986012</v>
      </c>
      <c r="L33" s="55">
        <v>12</v>
      </c>
      <c r="M33" s="59">
        <v>4.1958041958041958E-3</v>
      </c>
      <c r="N33" s="53">
        <v>2105</v>
      </c>
      <c r="O33" s="60">
        <v>0.73601398601398604</v>
      </c>
    </row>
    <row r="34" spans="1:15" x14ac:dyDescent="0.2">
      <c r="A34" s="63" t="s">
        <v>162</v>
      </c>
      <c r="B34" s="50">
        <v>70360</v>
      </c>
      <c r="C34" s="50">
        <v>148588</v>
      </c>
      <c r="D34" s="50">
        <v>174244</v>
      </c>
      <c r="E34" s="50">
        <v>536</v>
      </c>
      <c r="F34" s="15">
        <v>537611</v>
      </c>
      <c r="G34" s="57">
        <v>0.17894565504893284</v>
      </c>
      <c r="H34" s="57">
        <v>0.37790189017070541</v>
      </c>
      <c r="I34" s="57">
        <v>0.44315245478036175</v>
      </c>
      <c r="J34" s="51">
        <v>221847</v>
      </c>
      <c r="K34" s="58">
        <v>0.5642205334798267</v>
      </c>
      <c r="L34" s="55">
        <v>6445</v>
      </c>
      <c r="M34" s="59">
        <v>1.6391483041364015E-2</v>
      </c>
      <c r="N34" s="53">
        <v>165436</v>
      </c>
      <c r="O34" s="60">
        <v>0.42075118517162097</v>
      </c>
    </row>
    <row r="35" spans="1:15" x14ac:dyDescent="0.2">
      <c r="A35" t="s">
        <v>163</v>
      </c>
      <c r="B35" s="50">
        <v>3728</v>
      </c>
      <c r="C35" s="50">
        <v>1929</v>
      </c>
      <c r="D35" s="50">
        <v>9544</v>
      </c>
      <c r="E35" s="50">
        <v>13</v>
      </c>
      <c r="F35" s="15">
        <v>25114</v>
      </c>
      <c r="G35" s="57">
        <v>0.24524702322215644</v>
      </c>
      <c r="H35" s="57">
        <v>0.12689954608249457</v>
      </c>
      <c r="I35" s="57">
        <v>0.62785343069534894</v>
      </c>
      <c r="J35" s="51">
        <v>4511</v>
      </c>
      <c r="K35" s="58">
        <v>0.29675679231629498</v>
      </c>
      <c r="L35" s="55">
        <v>125</v>
      </c>
      <c r="M35" s="59">
        <v>8.2231432142622195E-3</v>
      </c>
      <c r="N35" s="53">
        <v>10578</v>
      </c>
      <c r="O35" s="60">
        <v>0.69587527136372607</v>
      </c>
    </row>
    <row r="36" spans="1:15" x14ac:dyDescent="0.2">
      <c r="A36" t="s">
        <v>164</v>
      </c>
      <c r="B36" s="50">
        <v>5428</v>
      </c>
      <c r="C36" s="50">
        <v>2587</v>
      </c>
      <c r="D36" s="50">
        <v>8058</v>
      </c>
      <c r="E36" s="50">
        <v>13</v>
      </c>
      <c r="F36" s="15">
        <v>25054</v>
      </c>
      <c r="G36" s="57">
        <v>0.33770920176693836</v>
      </c>
      <c r="H36" s="57">
        <v>0.16095315124743359</v>
      </c>
      <c r="I36" s="57">
        <v>0.5013376469856281</v>
      </c>
      <c r="J36" s="51">
        <v>4190</v>
      </c>
      <c r="K36" s="58">
        <v>0.26068562185030797</v>
      </c>
      <c r="L36" s="55">
        <v>119</v>
      </c>
      <c r="M36" s="59">
        <v>7.4037205251042118E-3</v>
      </c>
      <c r="N36" s="53">
        <v>11777</v>
      </c>
      <c r="O36" s="60">
        <v>0.73271946742985128</v>
      </c>
    </row>
    <row r="37" spans="1:15" x14ac:dyDescent="0.2">
      <c r="A37" t="s">
        <v>165</v>
      </c>
      <c r="B37" s="50">
        <v>18823</v>
      </c>
      <c r="C37" s="50">
        <v>16806</v>
      </c>
      <c r="D37" s="50">
        <v>44866</v>
      </c>
      <c r="E37" s="50">
        <v>80</v>
      </c>
      <c r="F37" s="15">
        <v>107380</v>
      </c>
      <c r="G37" s="57">
        <v>0.23384061121808808</v>
      </c>
      <c r="H37" s="57">
        <v>0.20878315423318219</v>
      </c>
      <c r="I37" s="57">
        <v>0.55737623454872975</v>
      </c>
      <c r="J37" s="51">
        <v>29232</v>
      </c>
      <c r="K37" s="58">
        <v>0.36315299086899805</v>
      </c>
      <c r="L37" s="55">
        <v>1330</v>
      </c>
      <c r="M37" s="59">
        <v>1.6522765389154606E-2</v>
      </c>
      <c r="N37" s="53">
        <v>50013</v>
      </c>
      <c r="O37" s="60">
        <v>0.62131809429157092</v>
      </c>
    </row>
    <row r="38" spans="1:15" x14ac:dyDescent="0.2">
      <c r="A38" t="s">
        <v>166</v>
      </c>
      <c r="B38" s="50">
        <v>1677</v>
      </c>
      <c r="C38" s="50">
        <v>1012</v>
      </c>
      <c r="D38" s="50">
        <v>4345</v>
      </c>
      <c r="E38" s="50">
        <v>1</v>
      </c>
      <c r="F38" s="15">
        <v>10632</v>
      </c>
      <c r="G38" s="57">
        <v>0.23841342052885983</v>
      </c>
      <c r="H38" s="57">
        <v>0.1438726187091271</v>
      </c>
      <c r="I38" s="57">
        <v>0.61771396076201313</v>
      </c>
      <c r="J38" s="51">
        <v>2059</v>
      </c>
      <c r="K38" s="58">
        <v>0.29272106909297696</v>
      </c>
      <c r="L38" s="55">
        <v>76</v>
      </c>
      <c r="M38" s="59">
        <v>1.0804663065112312E-2</v>
      </c>
      <c r="N38" s="53">
        <v>4900</v>
      </c>
      <c r="O38" s="60">
        <v>0.69661643446118848</v>
      </c>
    </row>
    <row r="39" spans="1:15" x14ac:dyDescent="0.2">
      <c r="A39" t="s">
        <v>167</v>
      </c>
      <c r="B39" s="50">
        <v>24101</v>
      </c>
      <c r="C39" s="50">
        <v>18992</v>
      </c>
      <c r="D39" s="50">
        <v>33685</v>
      </c>
      <c r="E39" s="50">
        <v>21</v>
      </c>
      <c r="F39" s="15">
        <v>102110</v>
      </c>
      <c r="G39" s="57">
        <v>0.31390502487691785</v>
      </c>
      <c r="H39" s="57">
        <v>0.24736252572351455</v>
      </c>
      <c r="I39" s="57">
        <v>0.43873244939956757</v>
      </c>
      <c r="J39" s="51">
        <v>24210</v>
      </c>
      <c r="K39" s="58">
        <v>0.31532470238870508</v>
      </c>
      <c r="L39" s="55">
        <v>1088</v>
      </c>
      <c r="M39" s="59">
        <v>1.4170725989215661E-2</v>
      </c>
      <c r="N39" s="53">
        <v>51501</v>
      </c>
      <c r="O39" s="60">
        <v>0.67077808747297407</v>
      </c>
    </row>
    <row r="40" spans="1:15" x14ac:dyDescent="0.2">
      <c r="A40" t="s">
        <v>168</v>
      </c>
      <c r="B40" s="50">
        <v>1436</v>
      </c>
      <c r="C40" s="50">
        <v>1096</v>
      </c>
      <c r="D40" s="50">
        <v>3568</v>
      </c>
      <c r="E40" s="50">
        <v>2</v>
      </c>
      <c r="F40" s="15">
        <v>8512</v>
      </c>
      <c r="G40" s="57">
        <v>0.23540983606557378</v>
      </c>
      <c r="H40" s="57">
        <v>0.17967213114754099</v>
      </c>
      <c r="I40" s="57">
        <v>0.58491803278688526</v>
      </c>
      <c r="J40" s="51">
        <v>1615</v>
      </c>
      <c r="K40" s="58">
        <v>0.26475409836065572</v>
      </c>
      <c r="L40" s="55">
        <v>59</v>
      </c>
      <c r="M40" s="59">
        <v>9.6721311475409834E-3</v>
      </c>
      <c r="N40" s="53">
        <v>4428</v>
      </c>
      <c r="O40" s="60">
        <v>0.72590163934426233</v>
      </c>
    </row>
    <row r="41" spans="1:15" x14ac:dyDescent="0.2">
      <c r="A41" t="s">
        <v>169</v>
      </c>
      <c r="B41" s="50">
        <v>1571</v>
      </c>
      <c r="C41" s="50">
        <v>1670</v>
      </c>
      <c r="D41" s="50">
        <v>4787</v>
      </c>
      <c r="E41" s="50">
        <v>5</v>
      </c>
      <c r="F41" s="15">
        <v>12554</v>
      </c>
      <c r="G41" s="57">
        <v>0.19569008470353763</v>
      </c>
      <c r="H41" s="57">
        <v>0.20802192326856003</v>
      </c>
      <c r="I41" s="57">
        <v>0.59628799202790239</v>
      </c>
      <c r="J41" s="51">
        <v>2982</v>
      </c>
      <c r="K41" s="58">
        <v>0.37144992526158443</v>
      </c>
      <c r="L41" s="55">
        <v>66</v>
      </c>
      <c r="M41" s="59">
        <v>8.2212257100149483E-3</v>
      </c>
      <c r="N41" s="53">
        <v>4985</v>
      </c>
      <c r="O41" s="60">
        <v>0.62095166915794719</v>
      </c>
    </row>
    <row r="42" spans="1:15" x14ac:dyDescent="0.2">
      <c r="A42" t="s">
        <v>170</v>
      </c>
      <c r="B42" s="50">
        <v>2304</v>
      </c>
      <c r="C42" s="50">
        <v>1024</v>
      </c>
      <c r="D42" s="50">
        <v>4098</v>
      </c>
      <c r="E42" s="50">
        <v>8</v>
      </c>
      <c r="F42" s="15">
        <v>11660</v>
      </c>
      <c r="G42" s="57">
        <v>0.31026124427686508</v>
      </c>
      <c r="H42" s="57">
        <v>0.13789388634527336</v>
      </c>
      <c r="I42" s="57">
        <v>0.55184486937786159</v>
      </c>
      <c r="J42" s="51">
        <v>1261</v>
      </c>
      <c r="K42" s="58">
        <v>0.16980877996229465</v>
      </c>
      <c r="L42" s="55">
        <v>107</v>
      </c>
      <c r="M42" s="59">
        <v>1.4408833827093993E-2</v>
      </c>
      <c r="N42" s="53">
        <v>6066</v>
      </c>
      <c r="O42" s="60">
        <v>0.81685968219768379</v>
      </c>
    </row>
    <row r="43" spans="1:15" x14ac:dyDescent="0.2">
      <c r="A43" t="s">
        <v>171</v>
      </c>
      <c r="B43" s="50">
        <v>2652</v>
      </c>
      <c r="C43" s="50">
        <v>3059</v>
      </c>
      <c r="D43" s="50">
        <v>10366</v>
      </c>
      <c r="E43" s="50">
        <v>4</v>
      </c>
      <c r="F43" s="15">
        <v>21529</v>
      </c>
      <c r="G43" s="57">
        <v>0.16495614853517448</v>
      </c>
      <c r="H43" s="57">
        <v>0.19027181688125894</v>
      </c>
      <c r="I43" s="57">
        <v>0.64477203458356658</v>
      </c>
      <c r="J43" s="51">
        <v>2486</v>
      </c>
      <c r="K43" s="58">
        <v>0.15463083908689432</v>
      </c>
      <c r="L43" s="55">
        <v>197</v>
      </c>
      <c r="M43" s="59">
        <v>1.2253529887416806E-2</v>
      </c>
      <c r="N43" s="53">
        <v>13398</v>
      </c>
      <c r="O43" s="60">
        <v>0.83336443366299684</v>
      </c>
    </row>
    <row r="44" spans="1:15" x14ac:dyDescent="0.2">
      <c r="A44" t="s">
        <v>123</v>
      </c>
      <c r="B44" s="50">
        <v>2277</v>
      </c>
      <c r="C44" s="50">
        <v>2325</v>
      </c>
      <c r="D44" s="50">
        <v>7009</v>
      </c>
      <c r="E44" s="50">
        <v>14</v>
      </c>
      <c r="F44" s="15">
        <v>16618</v>
      </c>
      <c r="G44" s="57">
        <v>0.19610713978124192</v>
      </c>
      <c r="H44" s="57">
        <v>0.20024115063302042</v>
      </c>
      <c r="I44" s="57">
        <v>0.60365170958573766</v>
      </c>
      <c r="J44" s="51">
        <v>4782</v>
      </c>
      <c r="K44" s="58">
        <v>0.41185083110843168</v>
      </c>
      <c r="L44" s="55">
        <v>88</v>
      </c>
      <c r="M44" s="59">
        <v>7.5790198949272245E-3</v>
      </c>
      <c r="N44" s="53">
        <v>6755</v>
      </c>
      <c r="O44" s="60">
        <v>0.58177590216174313</v>
      </c>
    </row>
    <row r="45" spans="1:15" x14ac:dyDescent="0.2">
      <c r="A45" s="63" t="s">
        <v>172</v>
      </c>
      <c r="B45" s="50">
        <v>49704</v>
      </c>
      <c r="C45" s="50">
        <v>128155</v>
      </c>
      <c r="D45" s="50">
        <v>191581</v>
      </c>
      <c r="E45" s="50">
        <v>1306</v>
      </c>
      <c r="F45" s="15">
        <v>546711</v>
      </c>
      <c r="G45" s="57">
        <v>0.13453876136855783</v>
      </c>
      <c r="H45" s="57">
        <v>0.34688988739714161</v>
      </c>
      <c r="I45" s="57">
        <v>0.51857135123430054</v>
      </c>
      <c r="J45" s="51">
        <v>308162</v>
      </c>
      <c r="K45" s="58">
        <v>0.83413274144651361</v>
      </c>
      <c r="L45" s="55">
        <v>4207</v>
      </c>
      <c r="M45" s="59">
        <v>1.138750541359896E-2</v>
      </c>
      <c r="N45" s="53">
        <v>58377</v>
      </c>
      <c r="O45" s="60">
        <v>0.15801483326115201</v>
      </c>
    </row>
    <row r="46" spans="1:15" x14ac:dyDescent="0.2">
      <c r="A46" t="s">
        <v>173</v>
      </c>
      <c r="B46" s="50">
        <v>2920</v>
      </c>
      <c r="C46" s="50">
        <v>1301</v>
      </c>
      <c r="D46" s="50">
        <v>3844</v>
      </c>
      <c r="E46" s="50">
        <v>6</v>
      </c>
      <c r="F46" s="15">
        <v>11439</v>
      </c>
      <c r="G46" s="57">
        <v>0.36205827650340977</v>
      </c>
      <c r="H46" s="57">
        <v>0.16131432114073155</v>
      </c>
      <c r="I46" s="57">
        <v>0.47662740235585865</v>
      </c>
      <c r="J46" s="51">
        <v>2172</v>
      </c>
      <c r="K46" s="58">
        <v>0.26931184128952262</v>
      </c>
      <c r="L46" s="55">
        <v>56</v>
      </c>
      <c r="M46" s="59">
        <v>6.9435833849969004E-3</v>
      </c>
      <c r="N46" s="53">
        <v>5843</v>
      </c>
      <c r="O46" s="60">
        <v>0.72448853068815866</v>
      </c>
    </row>
    <row r="47" spans="1:15" x14ac:dyDescent="0.2">
      <c r="A47" t="s">
        <v>174</v>
      </c>
      <c r="B47" s="50">
        <v>958</v>
      </c>
      <c r="C47" s="50">
        <v>742</v>
      </c>
      <c r="D47" s="50">
        <v>2400</v>
      </c>
      <c r="E47" s="50">
        <v>5</v>
      </c>
      <c r="F47" s="15">
        <v>5949</v>
      </c>
      <c r="G47" s="57">
        <v>0.23365853658536587</v>
      </c>
      <c r="H47" s="57">
        <v>0.18097560975609756</v>
      </c>
      <c r="I47" s="57">
        <v>0.58536585365853655</v>
      </c>
      <c r="J47" s="51">
        <v>1911</v>
      </c>
      <c r="K47" s="58">
        <v>0.46609756097560978</v>
      </c>
      <c r="L47" s="55">
        <v>35</v>
      </c>
      <c r="M47" s="59">
        <v>8.5365853658536592E-3</v>
      </c>
      <c r="N47" s="53">
        <v>2159</v>
      </c>
      <c r="O47" s="60">
        <v>0.52658536585365856</v>
      </c>
    </row>
    <row r="48" spans="1:15" x14ac:dyDescent="0.2">
      <c r="A48" t="s">
        <v>175</v>
      </c>
      <c r="B48" s="50">
        <v>11698</v>
      </c>
      <c r="C48" s="50">
        <v>10465</v>
      </c>
      <c r="D48" s="50">
        <v>13016</v>
      </c>
      <c r="E48" s="50">
        <v>108</v>
      </c>
      <c r="F48" s="15">
        <v>61172</v>
      </c>
      <c r="G48" s="57">
        <v>0.33252792859376334</v>
      </c>
      <c r="H48" s="57">
        <v>0.29747860939765203</v>
      </c>
      <c r="I48" s="57">
        <v>0.36999346200858468</v>
      </c>
      <c r="J48" s="51">
        <v>24568</v>
      </c>
      <c r="K48" s="58">
        <v>0.69837118735609316</v>
      </c>
      <c r="L48" s="55">
        <v>278</v>
      </c>
      <c r="M48" s="59">
        <v>7.9024417976633794E-3</v>
      </c>
      <c r="N48" s="53">
        <v>10441</v>
      </c>
      <c r="O48" s="60">
        <v>0.29679638420648685</v>
      </c>
    </row>
    <row r="49" spans="1:15" x14ac:dyDescent="0.2">
      <c r="A49" t="s">
        <v>176</v>
      </c>
      <c r="B49" s="50">
        <v>11088</v>
      </c>
      <c r="C49" s="50">
        <v>19658</v>
      </c>
      <c r="D49" s="50">
        <v>38295</v>
      </c>
      <c r="E49" s="50">
        <v>65</v>
      </c>
      <c r="F49" s="15">
        <v>102540</v>
      </c>
      <c r="G49" s="57">
        <v>0.16060022305586535</v>
      </c>
      <c r="H49" s="57">
        <v>0.28472936371141783</v>
      </c>
      <c r="I49" s="57">
        <v>0.55467041323271682</v>
      </c>
      <c r="J49" s="51">
        <v>42814</v>
      </c>
      <c r="K49" s="58">
        <v>0.62012427398212655</v>
      </c>
      <c r="L49" s="55">
        <v>838</v>
      </c>
      <c r="M49" s="59">
        <v>1.2137715270636288E-2</v>
      </c>
      <c r="N49" s="53">
        <v>25454</v>
      </c>
      <c r="O49" s="60">
        <v>0.36867948030880204</v>
      </c>
    </row>
    <row r="50" spans="1:15" x14ac:dyDescent="0.2">
      <c r="A50" t="s">
        <v>125</v>
      </c>
      <c r="B50" s="50">
        <v>1452</v>
      </c>
      <c r="C50" s="50">
        <v>1105</v>
      </c>
      <c r="D50" s="50">
        <v>2628</v>
      </c>
      <c r="E50" s="50">
        <v>3</v>
      </c>
      <c r="F50" s="15">
        <v>7320</v>
      </c>
      <c r="G50" s="57">
        <v>0.28003857280617167</v>
      </c>
      <c r="H50" s="57">
        <v>0.21311475409836064</v>
      </c>
      <c r="I50" s="57">
        <v>0.50684667309546771</v>
      </c>
      <c r="J50" s="51">
        <v>2450</v>
      </c>
      <c r="K50" s="58">
        <v>0.47251687560270011</v>
      </c>
      <c r="L50" s="55">
        <v>28</v>
      </c>
      <c r="M50" s="59">
        <v>5.400192864030858E-3</v>
      </c>
      <c r="N50" s="53">
        <v>2710</v>
      </c>
      <c r="O50" s="60">
        <v>0.52266152362584373</v>
      </c>
    </row>
    <row r="51" spans="1:15" x14ac:dyDescent="0.2">
      <c r="A51" t="s">
        <v>177</v>
      </c>
      <c r="B51" s="50">
        <v>263</v>
      </c>
      <c r="C51" s="50">
        <v>156</v>
      </c>
      <c r="D51" s="50">
        <v>1022</v>
      </c>
      <c r="E51" s="50">
        <v>0</v>
      </c>
      <c r="F51" s="15">
        <v>2156</v>
      </c>
      <c r="G51" s="57">
        <v>0.1825121443442054</v>
      </c>
      <c r="H51" s="57">
        <v>0.10825815405968078</v>
      </c>
      <c r="I51" s="57">
        <v>0.70922970159611376</v>
      </c>
      <c r="J51" s="51">
        <v>167</v>
      </c>
      <c r="K51" s="58">
        <v>0.11589174184594032</v>
      </c>
      <c r="L51" s="55">
        <v>18</v>
      </c>
      <c r="M51" s="59">
        <v>1.2491325468424705E-2</v>
      </c>
      <c r="N51" s="53">
        <v>1256</v>
      </c>
      <c r="O51" s="60">
        <v>0.871616932685635</v>
      </c>
    </row>
    <row r="52" spans="1:15" x14ac:dyDescent="0.2">
      <c r="A52" t="s">
        <v>178</v>
      </c>
      <c r="B52" s="50">
        <v>9335</v>
      </c>
      <c r="C52" s="50">
        <v>4943</v>
      </c>
      <c r="D52" s="50">
        <v>17264</v>
      </c>
      <c r="E52" s="50">
        <v>29</v>
      </c>
      <c r="F52" s="15">
        <v>44273</v>
      </c>
      <c r="G52" s="57">
        <v>0.29595460021558556</v>
      </c>
      <c r="H52" s="57">
        <v>0.1567116860059603</v>
      </c>
      <c r="I52" s="57">
        <v>0.54733371377845408</v>
      </c>
      <c r="J52" s="51">
        <v>7718</v>
      </c>
      <c r="K52" s="58">
        <v>0.2446896201889544</v>
      </c>
      <c r="L52" s="55">
        <v>492</v>
      </c>
      <c r="M52" s="59">
        <v>1.5598249952444359E-2</v>
      </c>
      <c r="N52" s="53">
        <v>23361</v>
      </c>
      <c r="O52" s="60">
        <v>0.74063153890051359</v>
      </c>
    </row>
    <row r="53" spans="1:15" x14ac:dyDescent="0.2">
      <c r="A53" t="s">
        <v>179</v>
      </c>
      <c r="B53" s="50">
        <v>9171</v>
      </c>
      <c r="C53" s="50">
        <v>0</v>
      </c>
      <c r="D53" s="50">
        <v>0</v>
      </c>
      <c r="E53" s="50">
        <v>0</v>
      </c>
      <c r="F53" s="15">
        <v>12305</v>
      </c>
      <c r="G53" s="57">
        <v>1</v>
      </c>
      <c r="H53" s="57">
        <v>0</v>
      </c>
      <c r="I53" s="57">
        <v>0</v>
      </c>
      <c r="J53" s="51">
        <v>2879</v>
      </c>
      <c r="K53" s="58">
        <v>0.31392432668193215</v>
      </c>
      <c r="L53" s="55">
        <v>66</v>
      </c>
      <c r="M53" s="59">
        <v>7.1965979718678439E-3</v>
      </c>
      <c r="N53" s="53">
        <v>6226</v>
      </c>
      <c r="O53" s="60">
        <v>0.67887907534619996</v>
      </c>
    </row>
    <row r="54" spans="1:15" x14ac:dyDescent="0.2">
      <c r="A54" t="s">
        <v>180</v>
      </c>
      <c r="B54" s="50">
        <v>3407</v>
      </c>
      <c r="C54" s="50">
        <v>1713</v>
      </c>
      <c r="D54" s="50">
        <v>4383</v>
      </c>
      <c r="E54" s="50">
        <v>2</v>
      </c>
      <c r="F54" s="15">
        <v>13715</v>
      </c>
      <c r="G54" s="57">
        <v>0.35851836262232978</v>
      </c>
      <c r="H54" s="57">
        <v>0.18025886562138271</v>
      </c>
      <c r="I54" s="57">
        <v>0.46122277175628751</v>
      </c>
      <c r="J54" s="51">
        <v>2886</v>
      </c>
      <c r="K54" s="58">
        <v>0.30369357045143641</v>
      </c>
      <c r="L54" s="55">
        <v>66</v>
      </c>
      <c r="M54" s="59">
        <v>6.9451752078291068E-3</v>
      </c>
      <c r="N54" s="53">
        <v>6553</v>
      </c>
      <c r="O54" s="60">
        <v>0.68957171419551722</v>
      </c>
    </row>
    <row r="55" spans="1:15" x14ac:dyDescent="0.2">
      <c r="A55" t="s">
        <v>181</v>
      </c>
      <c r="B55" s="50">
        <v>719</v>
      </c>
      <c r="C55" s="50">
        <v>850</v>
      </c>
      <c r="D55" s="50">
        <v>2678</v>
      </c>
      <c r="E55" s="50">
        <v>0</v>
      </c>
      <c r="F55" s="15">
        <v>6135</v>
      </c>
      <c r="G55" s="57">
        <v>0.16929597362844362</v>
      </c>
      <c r="H55" s="57">
        <v>0.20014127619496114</v>
      </c>
      <c r="I55" s="57">
        <v>0.63056275017659524</v>
      </c>
      <c r="J55" s="51">
        <v>1324</v>
      </c>
      <c r="K55" s="58">
        <v>0.31174947021426891</v>
      </c>
      <c r="L55" s="55">
        <v>35</v>
      </c>
      <c r="M55" s="59">
        <v>8.2411113727336952E-3</v>
      </c>
      <c r="N55" s="53">
        <v>2888</v>
      </c>
      <c r="O55" s="60">
        <v>0.68000941841299745</v>
      </c>
    </row>
    <row r="56" spans="1:15" x14ac:dyDescent="0.2">
      <c r="A56" t="s">
        <v>182</v>
      </c>
      <c r="B56" s="50">
        <v>4590</v>
      </c>
      <c r="C56" s="50">
        <v>3444</v>
      </c>
      <c r="D56" s="50">
        <v>6792</v>
      </c>
      <c r="E56" s="50">
        <v>23</v>
      </c>
      <c r="F56" s="15">
        <v>20399</v>
      </c>
      <c r="G56" s="57">
        <v>0.30959125859975717</v>
      </c>
      <c r="H56" s="57">
        <v>0.23229461756373937</v>
      </c>
      <c r="I56" s="57">
        <v>0.45811412383650346</v>
      </c>
      <c r="J56" s="51">
        <v>2570</v>
      </c>
      <c r="K56" s="58">
        <v>0.17334412518548495</v>
      </c>
      <c r="L56" s="55">
        <v>110</v>
      </c>
      <c r="M56" s="59">
        <v>7.4193983542425465E-3</v>
      </c>
      <c r="N56" s="53">
        <v>12169</v>
      </c>
      <c r="O56" s="60">
        <v>0.82078780520706862</v>
      </c>
    </row>
    <row r="57" spans="1:15" x14ac:dyDescent="0.2">
      <c r="A57" t="s">
        <v>183</v>
      </c>
      <c r="B57" s="50">
        <v>10032</v>
      </c>
      <c r="C57" s="50">
        <v>18764</v>
      </c>
      <c r="D57" s="50">
        <v>43070</v>
      </c>
      <c r="E57" s="50">
        <v>128</v>
      </c>
      <c r="F57" s="15">
        <v>92307</v>
      </c>
      <c r="G57" s="57">
        <v>0.13959313166170373</v>
      </c>
      <c r="H57" s="57">
        <v>0.26109704171652798</v>
      </c>
      <c r="I57" s="57">
        <v>0.59930982662176824</v>
      </c>
      <c r="J57" s="51">
        <v>33062</v>
      </c>
      <c r="K57" s="58">
        <v>0.46005064982049926</v>
      </c>
      <c r="L57" s="55">
        <v>976</v>
      </c>
      <c r="M57" s="59">
        <v>1.3580830991011048E-2</v>
      </c>
      <c r="N57" s="53">
        <v>37956</v>
      </c>
      <c r="O57" s="60">
        <v>0.52814961177747477</v>
      </c>
    </row>
    <row r="58" spans="1:15" x14ac:dyDescent="0.2">
      <c r="A58" t="s">
        <v>184</v>
      </c>
      <c r="B58" s="50">
        <v>10280</v>
      </c>
      <c r="C58" s="50">
        <v>8507</v>
      </c>
      <c r="D58" s="50">
        <v>22414</v>
      </c>
      <c r="E58" s="50">
        <v>140</v>
      </c>
      <c r="F58" s="15">
        <v>60650</v>
      </c>
      <c r="G58" s="57">
        <v>0.249508507075071</v>
      </c>
      <c r="H58" s="57">
        <v>0.20647557098128685</v>
      </c>
      <c r="I58" s="57">
        <v>0.54401592194364212</v>
      </c>
      <c r="J58" s="51">
        <v>11917</v>
      </c>
      <c r="K58" s="58">
        <v>0.28924055241377639</v>
      </c>
      <c r="L58" s="55">
        <v>518</v>
      </c>
      <c r="M58" s="59">
        <v>1.2572510375961748E-2</v>
      </c>
      <c r="N58" s="53">
        <v>28906</v>
      </c>
      <c r="O58" s="60">
        <v>0.70158491298754888</v>
      </c>
    </row>
    <row r="59" spans="1:15" x14ac:dyDescent="0.2">
      <c r="A59" t="s">
        <v>185</v>
      </c>
      <c r="B59" s="50">
        <v>13528</v>
      </c>
      <c r="C59" s="50">
        <v>30778</v>
      </c>
      <c r="D59" s="50">
        <v>84952</v>
      </c>
      <c r="E59" s="50">
        <v>53</v>
      </c>
      <c r="F59" s="15">
        <v>163984</v>
      </c>
      <c r="G59" s="57">
        <v>0.10465889925575206</v>
      </c>
      <c r="H59" s="57">
        <v>0.23811292144393384</v>
      </c>
      <c r="I59" s="57">
        <v>0.65722817930031407</v>
      </c>
      <c r="J59" s="51">
        <v>42208</v>
      </c>
      <c r="K59" s="58">
        <v>0.32654071701558124</v>
      </c>
      <c r="L59" s="55">
        <v>1980</v>
      </c>
      <c r="M59" s="59">
        <v>1.5318200807686951E-2</v>
      </c>
      <c r="N59" s="53">
        <v>85123</v>
      </c>
      <c r="O59" s="60">
        <v>0.65855111482461437</v>
      </c>
    </row>
    <row r="60" spans="1:15" x14ac:dyDescent="0.2">
      <c r="A60" t="s">
        <v>186</v>
      </c>
      <c r="B60" s="50">
        <v>2680</v>
      </c>
      <c r="C60" s="50">
        <v>2027</v>
      </c>
      <c r="D60" s="50">
        <v>6056</v>
      </c>
      <c r="E60" s="50">
        <v>2</v>
      </c>
      <c r="F60" s="15">
        <v>15146</v>
      </c>
      <c r="G60" s="57">
        <v>0.24900120784167984</v>
      </c>
      <c r="H60" s="57">
        <v>0.18833039115488245</v>
      </c>
      <c r="I60" s="57">
        <v>0.56266840100343773</v>
      </c>
      <c r="J60" s="51">
        <v>1593</v>
      </c>
      <c r="K60" s="58">
        <v>0.14800706122828208</v>
      </c>
      <c r="L60" s="55">
        <v>103</v>
      </c>
      <c r="M60" s="59">
        <v>9.5698225401839639E-3</v>
      </c>
      <c r="N60" s="53">
        <v>9069</v>
      </c>
      <c r="O60" s="60">
        <v>0.84260893802843073</v>
      </c>
    </row>
    <row r="61" spans="1:15" x14ac:dyDescent="0.2">
      <c r="A61" s="63" t="s">
        <v>187</v>
      </c>
      <c r="B61" s="50">
        <v>55727</v>
      </c>
      <c r="C61" s="50">
        <v>146988</v>
      </c>
      <c r="D61" s="50">
        <v>318284</v>
      </c>
      <c r="E61" s="50">
        <v>2780</v>
      </c>
      <c r="F61" s="15">
        <v>806451</v>
      </c>
      <c r="G61" s="57">
        <v>0.10696181758506254</v>
      </c>
      <c r="H61" s="57">
        <v>0.28212722097355275</v>
      </c>
      <c r="I61" s="57">
        <v>0.61091096144138468</v>
      </c>
      <c r="J61" s="51">
        <v>380212</v>
      </c>
      <c r="K61" s="58">
        <v>0.72977491319561072</v>
      </c>
      <c r="L61" s="55">
        <v>6320</v>
      </c>
      <c r="M61" s="59">
        <v>1.2130541517354159E-2</v>
      </c>
      <c r="N61" s="53">
        <v>137247</v>
      </c>
      <c r="O61" s="60">
        <v>0.26343044804308646</v>
      </c>
    </row>
    <row r="62" spans="1:15" x14ac:dyDescent="0.2">
      <c r="A62" t="s">
        <v>188</v>
      </c>
      <c r="B62" s="50">
        <v>4888</v>
      </c>
      <c r="C62" s="50">
        <v>3488</v>
      </c>
      <c r="D62" s="50">
        <v>8136</v>
      </c>
      <c r="E62" s="50">
        <v>13</v>
      </c>
      <c r="F62" s="15">
        <v>22264</v>
      </c>
      <c r="G62" s="57">
        <v>0.29602713178294576</v>
      </c>
      <c r="H62" s="57">
        <v>0.21124031007751937</v>
      </c>
      <c r="I62" s="57">
        <v>0.49273255813953487</v>
      </c>
      <c r="J62" s="51">
        <v>2932</v>
      </c>
      <c r="K62" s="58">
        <v>0.17756782945736435</v>
      </c>
      <c r="L62" s="55">
        <v>164</v>
      </c>
      <c r="M62" s="59">
        <v>9.9321705426356592E-3</v>
      </c>
      <c r="N62" s="53">
        <v>13429</v>
      </c>
      <c r="O62" s="60">
        <v>0.81328730620155043</v>
      </c>
    </row>
    <row r="63" spans="1:15" x14ac:dyDescent="0.2">
      <c r="A63" t="s">
        <v>189</v>
      </c>
      <c r="B63" s="50">
        <v>446</v>
      </c>
      <c r="C63" s="50">
        <v>259</v>
      </c>
      <c r="D63" s="50">
        <v>860</v>
      </c>
      <c r="E63" s="50">
        <v>0</v>
      </c>
      <c r="F63" s="15">
        <v>2039</v>
      </c>
      <c r="G63" s="57">
        <v>0.28498402555910546</v>
      </c>
      <c r="H63" s="57">
        <v>0.16549520766773163</v>
      </c>
      <c r="I63" s="57">
        <v>0.54952076677316297</v>
      </c>
      <c r="J63" s="51">
        <v>155</v>
      </c>
      <c r="K63" s="58">
        <v>9.9041533546325874E-2</v>
      </c>
      <c r="L63" s="55">
        <v>8</v>
      </c>
      <c r="M63" s="59">
        <v>5.111821086261981E-3</v>
      </c>
      <c r="N63" s="53">
        <v>1402</v>
      </c>
      <c r="O63" s="60">
        <v>0.8958466453674121</v>
      </c>
    </row>
    <row r="64" spans="1:15" x14ac:dyDescent="0.2">
      <c r="A64" t="s">
        <v>190</v>
      </c>
      <c r="B64" s="50">
        <v>7004</v>
      </c>
      <c r="C64" s="50">
        <v>10230</v>
      </c>
      <c r="D64" s="50">
        <v>24696</v>
      </c>
      <c r="E64" s="50">
        <v>58</v>
      </c>
      <c r="F64" s="15">
        <v>61952</v>
      </c>
      <c r="G64" s="57">
        <v>0.16704030527068925</v>
      </c>
      <c r="H64" s="57">
        <v>0.2439780586692106</v>
      </c>
      <c r="I64" s="57">
        <v>0.58898163606010012</v>
      </c>
      <c r="J64" s="51">
        <v>15882</v>
      </c>
      <c r="K64" s="58">
        <v>0.37877414738850468</v>
      </c>
      <c r="L64" s="55">
        <v>489</v>
      </c>
      <c r="M64" s="59">
        <v>1.166229430002385E-2</v>
      </c>
      <c r="N64" s="53">
        <v>25617</v>
      </c>
      <c r="O64" s="60">
        <v>0.61094681612210833</v>
      </c>
    </row>
    <row r="65" spans="1:15" x14ac:dyDescent="0.2">
      <c r="A65" t="s">
        <v>191</v>
      </c>
      <c r="B65" s="50">
        <v>8096</v>
      </c>
      <c r="C65" s="50">
        <v>4053</v>
      </c>
      <c r="D65" s="50">
        <v>11868</v>
      </c>
      <c r="E65" s="50">
        <v>16</v>
      </c>
      <c r="F65" s="15">
        <v>36429</v>
      </c>
      <c r="G65" s="57">
        <v>0.33709455802140148</v>
      </c>
      <c r="H65" s="57">
        <v>0.168755464879044</v>
      </c>
      <c r="I65" s="57">
        <v>0.49414997709955449</v>
      </c>
      <c r="J65" s="51">
        <v>4384</v>
      </c>
      <c r="K65" s="58">
        <v>0.18253736936336762</v>
      </c>
      <c r="L65" s="55">
        <v>244</v>
      </c>
      <c r="M65" s="59">
        <v>1.0159470375150935E-2</v>
      </c>
      <c r="N65" s="53">
        <v>19405</v>
      </c>
      <c r="O65" s="60">
        <v>0.80796935504017986</v>
      </c>
    </row>
    <row r="66" spans="1:15" x14ac:dyDescent="0.2">
      <c r="A66" t="s">
        <v>192</v>
      </c>
      <c r="B66" s="50">
        <v>2688</v>
      </c>
      <c r="C66" s="50">
        <v>2226</v>
      </c>
      <c r="D66" s="50">
        <v>5775</v>
      </c>
      <c r="E66" s="50">
        <v>18</v>
      </c>
      <c r="F66" s="15">
        <v>15442</v>
      </c>
      <c r="G66" s="57">
        <v>0.25147347740667975</v>
      </c>
      <c r="H66" s="57">
        <v>0.20825147347740669</v>
      </c>
      <c r="I66" s="57">
        <v>0.54027504911591351</v>
      </c>
      <c r="J66" s="51">
        <v>3619</v>
      </c>
      <c r="K66" s="58">
        <v>0.33857236411263913</v>
      </c>
      <c r="L66" s="55">
        <v>54</v>
      </c>
      <c r="M66" s="59">
        <v>5.0519225371877634E-3</v>
      </c>
      <c r="N66" s="53">
        <v>7034</v>
      </c>
      <c r="O66" s="60">
        <v>0.65805968752923572</v>
      </c>
    </row>
    <row r="67" spans="1:15" x14ac:dyDescent="0.2">
      <c r="A67" t="s">
        <v>193</v>
      </c>
      <c r="B67" s="50">
        <v>1447</v>
      </c>
      <c r="C67" s="50">
        <v>2825</v>
      </c>
      <c r="D67" s="50">
        <v>6962</v>
      </c>
      <c r="E67" s="50">
        <v>10</v>
      </c>
      <c r="F67" s="15">
        <v>14171</v>
      </c>
      <c r="G67" s="57">
        <v>0.12880541214171265</v>
      </c>
      <c r="H67" s="57">
        <v>0.25146875556346804</v>
      </c>
      <c r="I67" s="57">
        <v>0.61972583229481926</v>
      </c>
      <c r="J67" s="51">
        <v>4087</v>
      </c>
      <c r="K67" s="58">
        <v>0.3638063022965996</v>
      </c>
      <c r="L67" s="55">
        <v>91</v>
      </c>
      <c r="M67" s="59">
        <v>8.1004094712479966E-3</v>
      </c>
      <c r="N67" s="53">
        <v>7066</v>
      </c>
      <c r="O67" s="60">
        <v>0.6289834431191027</v>
      </c>
    </row>
    <row r="68" spans="1:15" x14ac:dyDescent="0.2">
      <c r="A68" s="63" t="s">
        <v>194</v>
      </c>
      <c r="B68" s="50">
        <v>72773</v>
      </c>
      <c r="C68" s="50">
        <v>123725</v>
      </c>
      <c r="D68" s="50">
        <v>216811</v>
      </c>
      <c r="E68" s="50">
        <v>714</v>
      </c>
      <c r="F68" s="15">
        <v>581467</v>
      </c>
      <c r="G68" s="57">
        <v>0.1760740753286282</v>
      </c>
      <c r="H68" s="57">
        <v>0.29935230057898571</v>
      </c>
      <c r="I68" s="57">
        <v>0.52457362409238606</v>
      </c>
      <c r="J68" s="51">
        <v>241994</v>
      </c>
      <c r="K68" s="58">
        <v>0.58550382401544609</v>
      </c>
      <c r="L68" s="55">
        <v>5629</v>
      </c>
      <c r="M68" s="59">
        <v>1.3619350171421383E-2</v>
      </c>
      <c r="N68" s="53">
        <v>166400</v>
      </c>
      <c r="O68" s="60">
        <v>0.40260434686880758</v>
      </c>
    </row>
    <row r="69" spans="1:15" x14ac:dyDescent="0.2">
      <c r="A69" t="s">
        <v>195</v>
      </c>
      <c r="B69" s="50">
        <v>3203</v>
      </c>
      <c r="C69" s="50">
        <v>4261</v>
      </c>
      <c r="D69" s="50">
        <v>12942</v>
      </c>
      <c r="E69" s="50">
        <v>25</v>
      </c>
      <c r="F69" s="15">
        <v>28264</v>
      </c>
      <c r="G69" s="57">
        <v>0.15696363814564343</v>
      </c>
      <c r="H69" s="57">
        <v>0.2088111339802019</v>
      </c>
      <c r="I69" s="57">
        <v>0.6342252278741547</v>
      </c>
      <c r="J69" s="51">
        <v>3562</v>
      </c>
      <c r="K69" s="58">
        <v>0.17455650298931688</v>
      </c>
      <c r="L69" s="55">
        <v>232</v>
      </c>
      <c r="M69" s="59">
        <v>1.1369205135744388E-2</v>
      </c>
      <c r="N69" s="53">
        <v>16637</v>
      </c>
      <c r="O69" s="60">
        <v>0.81529942173870429</v>
      </c>
    </row>
    <row r="70" spans="1:15" x14ac:dyDescent="0.2">
      <c r="A70" t="s">
        <v>196</v>
      </c>
      <c r="B70" s="50">
        <v>15363</v>
      </c>
      <c r="C70" s="50">
        <v>21542</v>
      </c>
      <c r="D70" s="50">
        <v>53558</v>
      </c>
      <c r="E70" s="50">
        <v>74</v>
      </c>
      <c r="F70" s="51">
        <v>128332</v>
      </c>
      <c r="G70" s="57">
        <v>0.1698263378397798</v>
      </c>
      <c r="H70" s="57">
        <v>0.23813050639487968</v>
      </c>
      <c r="I70" s="57">
        <v>0.5920431557653405</v>
      </c>
      <c r="J70" s="51">
        <v>25033</v>
      </c>
      <c r="K70" s="58">
        <v>0.27672086930568296</v>
      </c>
      <c r="L70" s="55">
        <v>1321</v>
      </c>
      <c r="M70" s="59">
        <v>1.4602655229209732E-2</v>
      </c>
      <c r="N70" s="53">
        <v>64183</v>
      </c>
      <c r="O70" s="60">
        <v>0.70949448945977911</v>
      </c>
    </row>
    <row r="71" spans="1:15" x14ac:dyDescent="0.2">
      <c r="A71" t="s">
        <v>197</v>
      </c>
      <c r="B71" s="50">
        <v>895</v>
      </c>
      <c r="C71" s="50">
        <v>1475</v>
      </c>
      <c r="D71" s="50">
        <v>1780</v>
      </c>
      <c r="E71" s="50">
        <v>3</v>
      </c>
      <c r="F71" s="15">
        <v>5827</v>
      </c>
      <c r="G71" s="57">
        <v>0.21566265060240963</v>
      </c>
      <c r="H71" s="57">
        <v>0.35542168674698793</v>
      </c>
      <c r="I71" s="57">
        <v>0.42891566265060244</v>
      </c>
      <c r="J71" s="51">
        <v>2976</v>
      </c>
      <c r="K71" s="58">
        <v>0.71710843373493971</v>
      </c>
      <c r="L71" s="55">
        <v>23</v>
      </c>
      <c r="M71" s="59">
        <v>5.5421686746987952E-3</v>
      </c>
      <c r="N71" s="53">
        <v>1154</v>
      </c>
      <c r="O71" s="60">
        <v>0.27807228915662652</v>
      </c>
    </row>
    <row r="72" spans="1:15" x14ac:dyDescent="0.2">
      <c r="A72" t="s">
        <v>198</v>
      </c>
      <c r="B72" s="50">
        <v>4745</v>
      </c>
      <c r="C72" s="50">
        <v>2487</v>
      </c>
      <c r="D72" s="50">
        <v>7010</v>
      </c>
      <c r="E72" s="50">
        <v>4</v>
      </c>
      <c r="F72" s="15">
        <v>20667</v>
      </c>
      <c r="G72" s="57">
        <v>0.33316949866591772</v>
      </c>
      <c r="H72" s="57">
        <v>0.17462435051256847</v>
      </c>
      <c r="I72" s="57">
        <v>0.49220615082151381</v>
      </c>
      <c r="J72" s="51">
        <v>1791</v>
      </c>
      <c r="K72" s="58">
        <v>0.12575480971773628</v>
      </c>
      <c r="L72" s="55">
        <v>125</v>
      </c>
      <c r="M72" s="59">
        <v>8.7768571829799184E-3</v>
      </c>
      <c r="N72" s="53">
        <v>12330</v>
      </c>
      <c r="O72" s="60">
        <v>0.86574919252913918</v>
      </c>
    </row>
    <row r="73" spans="1:15" x14ac:dyDescent="0.2">
      <c r="A73" t="s">
        <v>199</v>
      </c>
      <c r="B73" s="50">
        <v>6973</v>
      </c>
      <c r="C73" s="50">
        <v>4216</v>
      </c>
      <c r="D73" s="50">
        <v>8783</v>
      </c>
      <c r="E73" s="50">
        <v>19</v>
      </c>
      <c r="F73" s="15">
        <v>25626</v>
      </c>
      <c r="G73" s="57">
        <v>0.34913879431203687</v>
      </c>
      <c r="H73" s="57">
        <v>0.21109553374724616</v>
      </c>
      <c r="I73" s="57">
        <v>0.43976567194071703</v>
      </c>
      <c r="J73" s="51">
        <v>5457</v>
      </c>
      <c r="K73" s="58">
        <v>0.27323252553575006</v>
      </c>
      <c r="L73" s="55">
        <v>215</v>
      </c>
      <c r="M73" s="59">
        <v>1.0765071099539355E-2</v>
      </c>
      <c r="N73" s="53">
        <v>14319</v>
      </c>
      <c r="O73" s="60">
        <v>0.71695373522932104</v>
      </c>
    </row>
    <row r="74" spans="1:15" x14ac:dyDescent="0.2">
      <c r="A74" t="s">
        <v>200</v>
      </c>
      <c r="B74" s="50">
        <v>2941</v>
      </c>
      <c r="C74" s="50">
        <v>2590</v>
      </c>
      <c r="D74" s="50">
        <v>7197</v>
      </c>
      <c r="E74" s="50">
        <v>0</v>
      </c>
      <c r="F74" s="15">
        <v>16929</v>
      </c>
      <c r="G74" s="57">
        <v>0.23106536769327468</v>
      </c>
      <c r="H74" s="57">
        <v>0.20348837209302326</v>
      </c>
      <c r="I74" s="57">
        <v>0.56544626021370203</v>
      </c>
      <c r="J74" s="51">
        <v>3157</v>
      </c>
      <c r="K74" s="58">
        <v>0.24803582652419862</v>
      </c>
      <c r="L74" s="55">
        <v>106</v>
      </c>
      <c r="M74" s="59">
        <v>8.328095537397863E-3</v>
      </c>
      <c r="N74" s="53">
        <v>9465</v>
      </c>
      <c r="O74" s="60">
        <v>0.74363607793840347</v>
      </c>
    </row>
    <row r="75" spans="1:15" x14ac:dyDescent="0.2">
      <c r="A75" t="s">
        <v>201</v>
      </c>
      <c r="B75" s="50">
        <v>1846</v>
      </c>
      <c r="C75" s="50">
        <v>987</v>
      </c>
      <c r="D75" s="50">
        <v>2559</v>
      </c>
      <c r="E75" s="50">
        <v>2</v>
      </c>
      <c r="F75" s="15">
        <v>7762</v>
      </c>
      <c r="G75" s="57">
        <v>0.34235905044510384</v>
      </c>
      <c r="H75" s="57">
        <v>0.18304896142433236</v>
      </c>
      <c r="I75" s="57">
        <v>0.4745919881305638</v>
      </c>
      <c r="J75" s="51">
        <v>824</v>
      </c>
      <c r="K75" s="58">
        <v>0.15281899109792285</v>
      </c>
      <c r="L75" s="55">
        <v>51</v>
      </c>
      <c r="M75" s="59">
        <v>9.458456973293769E-3</v>
      </c>
      <c r="N75" s="53">
        <v>4519</v>
      </c>
      <c r="O75" s="60">
        <v>0.83809347181008897</v>
      </c>
    </row>
    <row r="76" spans="1:15" x14ac:dyDescent="0.2">
      <c r="A76" t="s">
        <v>202</v>
      </c>
      <c r="B76" s="50">
        <v>16784</v>
      </c>
      <c r="C76" s="50">
        <v>29392</v>
      </c>
      <c r="D76" s="50">
        <v>76712</v>
      </c>
      <c r="E76" s="50">
        <v>110</v>
      </c>
      <c r="F76" s="15">
        <v>171905</v>
      </c>
      <c r="G76" s="57">
        <v>0.13657964976238526</v>
      </c>
      <c r="H76" s="57">
        <v>0.23917713690514941</v>
      </c>
      <c r="I76" s="57">
        <v>0.62424321333246535</v>
      </c>
      <c r="J76" s="51">
        <v>73443</v>
      </c>
      <c r="K76" s="58">
        <v>0.59764175509406936</v>
      </c>
      <c r="L76" s="55">
        <v>1296</v>
      </c>
      <c r="M76" s="59">
        <v>1.054618839919276E-2</v>
      </c>
      <c r="N76" s="53">
        <v>48259</v>
      </c>
      <c r="O76" s="60">
        <v>0.39270718052210141</v>
      </c>
    </row>
    <row r="77" spans="1:15" x14ac:dyDescent="0.2">
      <c r="A77" t="s">
        <v>203</v>
      </c>
      <c r="B77" s="50">
        <v>18432</v>
      </c>
      <c r="C77" s="50">
        <v>20324</v>
      </c>
      <c r="D77" s="50">
        <v>35984</v>
      </c>
      <c r="E77" s="50">
        <v>98</v>
      </c>
      <c r="F77" s="15">
        <v>105315</v>
      </c>
      <c r="G77" s="57">
        <v>0.24661493176344662</v>
      </c>
      <c r="H77" s="57">
        <v>0.27192935509767191</v>
      </c>
      <c r="I77" s="57">
        <v>0.48145571313888147</v>
      </c>
      <c r="J77" s="51">
        <v>32239</v>
      </c>
      <c r="K77" s="58">
        <v>0.43134867540808136</v>
      </c>
      <c r="L77" s="55">
        <v>1059</v>
      </c>
      <c r="M77" s="59">
        <v>1.4169119614664169E-2</v>
      </c>
      <c r="N77" s="53">
        <v>41540</v>
      </c>
      <c r="O77" s="60">
        <v>0.55579341717955577</v>
      </c>
    </row>
    <row r="78" spans="1:15" x14ac:dyDescent="0.2">
      <c r="A78" t="s">
        <v>204</v>
      </c>
      <c r="B78" s="50">
        <v>890</v>
      </c>
      <c r="C78" s="50">
        <v>627</v>
      </c>
      <c r="D78" s="50">
        <v>2646</v>
      </c>
      <c r="E78" s="50">
        <v>5</v>
      </c>
      <c r="F78" s="15">
        <v>6113</v>
      </c>
      <c r="G78" s="57">
        <v>0.21378813355753062</v>
      </c>
      <c r="H78" s="57">
        <v>0.15061253903435023</v>
      </c>
      <c r="I78" s="57">
        <v>0.6355993274081192</v>
      </c>
      <c r="J78" s="51">
        <v>1008</v>
      </c>
      <c r="K78" s="58">
        <v>0.24213307710785492</v>
      </c>
      <c r="L78" s="55">
        <v>26</v>
      </c>
      <c r="M78" s="59">
        <v>6.2454960365121307E-3</v>
      </c>
      <c r="N78" s="53">
        <v>3134</v>
      </c>
      <c r="O78" s="60">
        <v>0.75282248378573147</v>
      </c>
    </row>
    <row r="79" spans="1:15" x14ac:dyDescent="0.2">
      <c r="A79" t="s">
        <v>205</v>
      </c>
      <c r="B79" s="50">
        <v>6171</v>
      </c>
      <c r="C79" s="50">
        <v>7313</v>
      </c>
      <c r="D79" s="50">
        <v>24184</v>
      </c>
      <c r="E79" s="50">
        <v>7</v>
      </c>
      <c r="F79" s="15">
        <v>51951</v>
      </c>
      <c r="G79" s="57">
        <v>0.16382605925453966</v>
      </c>
      <c r="H79" s="57">
        <v>0.19414357013911013</v>
      </c>
      <c r="I79" s="57">
        <v>0.64203037060635026</v>
      </c>
      <c r="J79" s="51">
        <v>7642</v>
      </c>
      <c r="K79" s="58">
        <v>0.20287777423808007</v>
      </c>
      <c r="L79" s="55">
        <v>531</v>
      </c>
      <c r="M79" s="59">
        <v>1.4096846129340554E-2</v>
      </c>
      <c r="N79" s="53">
        <v>29502</v>
      </c>
      <c r="O79" s="60">
        <v>0.7832112137623447</v>
      </c>
    </row>
    <row r="80" spans="1:15" x14ac:dyDescent="0.2">
      <c r="A80" t="s">
        <v>206</v>
      </c>
      <c r="B80" s="50">
        <v>1863</v>
      </c>
      <c r="C80" s="50">
        <v>1506</v>
      </c>
      <c r="D80" s="50">
        <v>4261</v>
      </c>
      <c r="E80" s="50">
        <v>14</v>
      </c>
      <c r="F80" s="15">
        <v>10432</v>
      </c>
      <c r="G80" s="57">
        <v>0.24416775884665792</v>
      </c>
      <c r="H80" s="57">
        <v>0.19737876802096985</v>
      </c>
      <c r="I80" s="57">
        <v>0.55845347313237226</v>
      </c>
      <c r="J80" s="51">
        <v>1761</v>
      </c>
      <c r="K80" s="58">
        <v>0.23079947575360418</v>
      </c>
      <c r="L80" s="55">
        <v>61</v>
      </c>
      <c r="M80" s="59">
        <v>7.9947575360419399E-3</v>
      </c>
      <c r="N80" s="53">
        <v>5822</v>
      </c>
      <c r="O80" s="60">
        <v>0.76304062909567494</v>
      </c>
    </row>
    <row r="81" spans="1:15" x14ac:dyDescent="0.2">
      <c r="A81" t="s">
        <v>207</v>
      </c>
      <c r="B81" s="50">
        <v>1684</v>
      </c>
      <c r="C81" s="50">
        <v>814</v>
      </c>
      <c r="D81" s="50">
        <v>3273</v>
      </c>
      <c r="E81" s="50">
        <v>0</v>
      </c>
      <c r="F81" s="15">
        <v>8478</v>
      </c>
      <c r="G81" s="57">
        <v>0.29180384682030847</v>
      </c>
      <c r="H81" s="57">
        <v>0.14105007797608735</v>
      </c>
      <c r="I81" s="57">
        <v>0.56714607520360427</v>
      </c>
      <c r="J81" s="51">
        <v>1028</v>
      </c>
      <c r="K81" s="58">
        <v>0.17813203950788425</v>
      </c>
      <c r="L81" s="55">
        <v>48</v>
      </c>
      <c r="M81" s="59">
        <v>8.3174493155432332E-3</v>
      </c>
      <c r="N81" s="53">
        <v>4695</v>
      </c>
      <c r="O81" s="60">
        <v>0.81355051117657251</v>
      </c>
    </row>
    <row r="82" spans="1:15" x14ac:dyDescent="0.2">
      <c r="A82" t="s">
        <v>208</v>
      </c>
      <c r="B82" s="50">
        <v>2171</v>
      </c>
      <c r="C82" s="50">
        <v>1722</v>
      </c>
      <c r="D82" s="50">
        <v>3734</v>
      </c>
      <c r="E82" s="50">
        <v>12</v>
      </c>
      <c r="F82" s="15">
        <v>11334</v>
      </c>
      <c r="G82" s="57">
        <v>0.28464665005900092</v>
      </c>
      <c r="H82" s="57">
        <v>0.22577684541759538</v>
      </c>
      <c r="I82" s="57">
        <v>0.48957650452340368</v>
      </c>
      <c r="J82" s="51">
        <v>4058</v>
      </c>
      <c r="K82" s="58">
        <v>0.53205716533368297</v>
      </c>
      <c r="L82" s="55">
        <v>44</v>
      </c>
      <c r="M82" s="59">
        <v>5.768978628556444E-3</v>
      </c>
      <c r="N82" s="53">
        <v>3537</v>
      </c>
      <c r="O82" s="60">
        <v>0.46374721384554873</v>
      </c>
    </row>
    <row r="83" spans="1:15" x14ac:dyDescent="0.2">
      <c r="A83" t="s">
        <v>209</v>
      </c>
      <c r="B83" s="50">
        <v>886</v>
      </c>
      <c r="C83" s="50">
        <v>756</v>
      </c>
      <c r="D83" s="50">
        <v>1809</v>
      </c>
      <c r="E83" s="50">
        <v>4</v>
      </c>
      <c r="F83" s="15">
        <v>5066</v>
      </c>
      <c r="G83" s="57">
        <v>0.25673717762967257</v>
      </c>
      <c r="H83" s="57">
        <v>0.21906693711967545</v>
      </c>
      <c r="I83" s="57">
        <v>0.52419588525065197</v>
      </c>
      <c r="J83" s="51">
        <v>1266</v>
      </c>
      <c r="K83" s="58">
        <v>0.36685018835120253</v>
      </c>
      <c r="L83" s="55">
        <v>28</v>
      </c>
      <c r="M83" s="59">
        <v>8.1135902636916835E-3</v>
      </c>
      <c r="N83" s="53">
        <v>2161</v>
      </c>
      <c r="O83" s="60">
        <v>0.62619530570849025</v>
      </c>
    </row>
    <row r="84" spans="1:15" x14ac:dyDescent="0.2">
      <c r="A84" t="s">
        <v>210</v>
      </c>
      <c r="B84" s="50">
        <v>989</v>
      </c>
      <c r="C84" s="50">
        <v>757</v>
      </c>
      <c r="D84" s="50">
        <v>2354</v>
      </c>
      <c r="E84" s="50">
        <v>0</v>
      </c>
      <c r="F84" s="15">
        <v>5611</v>
      </c>
      <c r="G84" s="57">
        <v>0.24121951219512194</v>
      </c>
      <c r="H84" s="57">
        <v>0.18463414634146341</v>
      </c>
      <c r="I84" s="57">
        <v>0.57414634146341459</v>
      </c>
      <c r="J84" s="51">
        <v>1222</v>
      </c>
      <c r="K84" s="58">
        <v>0.29804878048780487</v>
      </c>
      <c r="L84" s="55">
        <v>28</v>
      </c>
      <c r="M84" s="59">
        <v>6.8292682926829268E-3</v>
      </c>
      <c r="N84" s="53">
        <v>2850</v>
      </c>
      <c r="O84" s="60">
        <v>0.69512195121951215</v>
      </c>
    </row>
    <row r="85" spans="1:15" x14ac:dyDescent="0.2">
      <c r="A85" t="s">
        <v>211</v>
      </c>
      <c r="B85" s="50">
        <v>3879</v>
      </c>
      <c r="C85" s="50">
        <v>2978</v>
      </c>
      <c r="D85" s="50">
        <v>8077</v>
      </c>
      <c r="E85" s="50">
        <v>0</v>
      </c>
      <c r="F85" s="51">
        <v>20661</v>
      </c>
      <c r="G85" s="57">
        <v>0.25974286862193652</v>
      </c>
      <c r="H85" s="57">
        <v>0.19941074059193786</v>
      </c>
      <c r="I85" s="57">
        <v>0.54084639078612562</v>
      </c>
      <c r="J85" s="51">
        <v>4882</v>
      </c>
      <c r="K85" s="58">
        <v>0.32690504888174637</v>
      </c>
      <c r="L85" s="55">
        <v>112</v>
      </c>
      <c r="M85" s="59">
        <v>7.4996651935181468E-3</v>
      </c>
      <c r="N85" s="53">
        <v>9940</v>
      </c>
      <c r="O85" s="60">
        <v>0.66559528592473549</v>
      </c>
    </row>
    <row r="86" spans="1:15" x14ac:dyDescent="0.2">
      <c r="A86" t="s">
        <v>212</v>
      </c>
      <c r="B86" s="50">
        <v>2253</v>
      </c>
      <c r="C86" s="50">
        <v>1763</v>
      </c>
      <c r="D86" s="50">
        <v>5018</v>
      </c>
      <c r="E86" s="50">
        <v>11</v>
      </c>
      <c r="F86" s="15">
        <v>12839</v>
      </c>
      <c r="G86" s="57">
        <v>0.24939118884215186</v>
      </c>
      <c r="H86" s="57">
        <v>0.19515164932477308</v>
      </c>
      <c r="I86" s="57">
        <v>0.55545716183307503</v>
      </c>
      <c r="J86" s="51">
        <v>2620</v>
      </c>
      <c r="K86" s="58">
        <v>0.2900154970112907</v>
      </c>
      <c r="L86" s="55">
        <v>94</v>
      </c>
      <c r="M86" s="59">
        <v>1.0405136152313482E-2</v>
      </c>
      <c r="N86" s="53">
        <v>6331</v>
      </c>
      <c r="O86" s="60">
        <v>0.7007969891520921</v>
      </c>
    </row>
    <row r="87" spans="1:15" x14ac:dyDescent="0.2">
      <c r="A87" t="s">
        <v>213</v>
      </c>
      <c r="B87" s="50">
        <v>698</v>
      </c>
      <c r="C87" s="50">
        <v>558</v>
      </c>
      <c r="D87" s="50">
        <v>2320</v>
      </c>
      <c r="E87" s="50">
        <v>0</v>
      </c>
      <c r="F87" s="15">
        <v>5462</v>
      </c>
      <c r="G87" s="57">
        <v>0.19519015659955258</v>
      </c>
      <c r="H87" s="57">
        <v>0.15604026845637584</v>
      </c>
      <c r="I87" s="57">
        <v>0.64876957494407161</v>
      </c>
      <c r="J87" s="51">
        <v>1019</v>
      </c>
      <c r="K87" s="58">
        <v>0.28495525727069348</v>
      </c>
      <c r="L87" s="55">
        <v>48</v>
      </c>
      <c r="M87" s="59">
        <v>1.3422818791946308E-2</v>
      </c>
      <c r="N87" s="53">
        <v>2509</v>
      </c>
      <c r="O87" s="60">
        <v>0.70162192393736023</v>
      </c>
    </row>
    <row r="88" spans="1:15" x14ac:dyDescent="0.2">
      <c r="A88" t="s">
        <v>214</v>
      </c>
      <c r="B88" s="50">
        <v>7606</v>
      </c>
      <c r="C88" s="50">
        <v>5125</v>
      </c>
      <c r="D88" s="50">
        <v>9994</v>
      </c>
      <c r="E88" s="50">
        <v>6</v>
      </c>
      <c r="F88" s="15">
        <v>32837</v>
      </c>
      <c r="G88" s="57">
        <v>0.33469746974697467</v>
      </c>
      <c r="H88" s="57">
        <v>0.22552255225522552</v>
      </c>
      <c r="I88" s="57">
        <v>0.43977997799779978</v>
      </c>
      <c r="J88" s="51">
        <v>8074</v>
      </c>
      <c r="K88" s="58">
        <v>0.35529152915291529</v>
      </c>
      <c r="L88" s="55">
        <v>164</v>
      </c>
      <c r="M88" s="59">
        <v>7.2167216721672166E-3</v>
      </c>
      <c r="N88" s="53">
        <v>14493</v>
      </c>
      <c r="O88" s="60">
        <v>0.6377557755775578</v>
      </c>
    </row>
    <row r="89" spans="1:15" x14ac:dyDescent="0.2">
      <c r="A89" t="s">
        <v>215</v>
      </c>
      <c r="B89" s="50">
        <v>4011</v>
      </c>
      <c r="C89" s="50">
        <v>2483</v>
      </c>
      <c r="D89" s="50">
        <v>10214</v>
      </c>
      <c r="E89" s="50">
        <v>6</v>
      </c>
      <c r="F89" s="15">
        <v>22897</v>
      </c>
      <c r="G89" s="57">
        <v>0.24006463969355998</v>
      </c>
      <c r="H89" s="57">
        <v>0.14861144361982284</v>
      </c>
      <c r="I89" s="57">
        <v>0.61132391668661723</v>
      </c>
      <c r="J89" s="51">
        <v>4558</v>
      </c>
      <c r="K89" s="58">
        <v>0.2728034474503232</v>
      </c>
      <c r="L89" s="55">
        <v>149</v>
      </c>
      <c r="M89" s="59">
        <v>8.9178836485515924E-3</v>
      </c>
      <c r="N89" s="53">
        <v>12007</v>
      </c>
      <c r="O89" s="60">
        <v>0.7186377783097917</v>
      </c>
    </row>
    <row r="90" spans="1:15" x14ac:dyDescent="0.2">
      <c r="A90" t="s">
        <v>216</v>
      </c>
      <c r="B90" s="50">
        <v>3474</v>
      </c>
      <c r="C90" s="50">
        <v>5711</v>
      </c>
      <c r="D90" s="50">
        <v>12209</v>
      </c>
      <c r="E90" s="50">
        <v>0</v>
      </c>
      <c r="F90" s="15">
        <v>35582</v>
      </c>
      <c r="G90" s="57">
        <v>0.16238197625502476</v>
      </c>
      <c r="H90" s="57">
        <v>0.26694400299149296</v>
      </c>
      <c r="I90" s="57">
        <v>0.57067402075348228</v>
      </c>
      <c r="J90" s="51">
        <v>13104</v>
      </c>
      <c r="K90" s="58">
        <v>0.61250817986351314</v>
      </c>
      <c r="L90" s="55">
        <v>331</v>
      </c>
      <c r="M90" s="59">
        <v>1.5471627559128728E-2</v>
      </c>
      <c r="N90" s="53">
        <v>7959</v>
      </c>
      <c r="O90" s="60">
        <v>0.37202019257735813</v>
      </c>
    </row>
    <row r="91" spans="1:15" x14ac:dyDescent="0.2">
      <c r="A91" t="s">
        <v>217</v>
      </c>
      <c r="B91" s="50">
        <v>1181</v>
      </c>
      <c r="C91" s="50">
        <v>1080</v>
      </c>
      <c r="D91" s="50">
        <v>2377</v>
      </c>
      <c r="E91" s="50">
        <v>3</v>
      </c>
      <c r="F91" s="15">
        <v>6176</v>
      </c>
      <c r="G91" s="57">
        <v>0.25463561880120744</v>
      </c>
      <c r="H91" s="57">
        <v>0.23285899094437257</v>
      </c>
      <c r="I91" s="57">
        <v>0.51250539025441999</v>
      </c>
      <c r="J91" s="51">
        <v>1432</v>
      </c>
      <c r="K91" s="58">
        <v>0.30875377317809399</v>
      </c>
      <c r="L91" s="55">
        <v>36</v>
      </c>
      <c r="M91" s="59">
        <v>7.7619663648124193E-3</v>
      </c>
      <c r="N91" s="53">
        <v>3173</v>
      </c>
      <c r="O91" s="60">
        <v>0.68413109098749458</v>
      </c>
    </row>
    <row r="92" spans="1:15" x14ac:dyDescent="0.2">
      <c r="A92" t="s">
        <v>218</v>
      </c>
      <c r="B92" s="50">
        <v>1538</v>
      </c>
      <c r="C92" s="50">
        <v>805</v>
      </c>
      <c r="D92" s="50">
        <v>3298</v>
      </c>
      <c r="E92" s="50">
        <v>16</v>
      </c>
      <c r="F92" s="15">
        <v>10470</v>
      </c>
      <c r="G92" s="57">
        <v>0.2726466938486084</v>
      </c>
      <c r="H92" s="57">
        <v>0.14270519411451871</v>
      </c>
      <c r="I92" s="57">
        <v>0.58464811203687295</v>
      </c>
      <c r="J92" s="51">
        <v>2035</v>
      </c>
      <c r="K92" s="58">
        <v>0.36075163978018082</v>
      </c>
      <c r="L92" s="55">
        <v>95</v>
      </c>
      <c r="M92" s="59">
        <v>1.6840985640843822E-2</v>
      </c>
      <c r="N92" s="53">
        <v>3527</v>
      </c>
      <c r="O92" s="60">
        <v>0.6252437511079596</v>
      </c>
    </row>
    <row r="93" spans="1:15" x14ac:dyDescent="0.2">
      <c r="A93" t="s">
        <v>219</v>
      </c>
      <c r="B93" s="50">
        <v>8411</v>
      </c>
      <c r="C93" s="50">
        <v>9431</v>
      </c>
      <c r="D93" s="50">
        <v>28060</v>
      </c>
      <c r="E93" s="50">
        <v>453</v>
      </c>
      <c r="F93" s="15">
        <v>75356</v>
      </c>
      <c r="G93" s="57">
        <v>0.183238203128404</v>
      </c>
      <c r="H93" s="57">
        <v>0.20545945710426561</v>
      </c>
      <c r="I93" s="57">
        <v>0.61130233976733039</v>
      </c>
      <c r="J93" s="51">
        <v>20116</v>
      </c>
      <c r="K93" s="58">
        <v>0.43823798527297286</v>
      </c>
      <c r="L93" s="55">
        <v>547</v>
      </c>
      <c r="M93" s="59">
        <v>1.1916692083133633E-2</v>
      </c>
      <c r="N93" s="53">
        <v>25692</v>
      </c>
      <c r="O93" s="60">
        <v>0.55971417367434972</v>
      </c>
    </row>
    <row r="94" spans="1:15" x14ac:dyDescent="0.2">
      <c r="A94" t="s">
        <v>220</v>
      </c>
      <c r="B94" s="50">
        <v>2397</v>
      </c>
      <c r="C94" s="50">
        <v>3315</v>
      </c>
      <c r="D94" s="50">
        <v>9818</v>
      </c>
      <c r="E94" s="50">
        <v>1</v>
      </c>
      <c r="F94" s="15">
        <v>22407</v>
      </c>
      <c r="G94" s="57">
        <v>0.15434642627173212</v>
      </c>
      <c r="H94" s="57">
        <v>0.21345782356728912</v>
      </c>
      <c r="I94" s="57">
        <v>0.63219575016097873</v>
      </c>
      <c r="J94" s="51">
        <v>3126</v>
      </c>
      <c r="K94" s="58">
        <v>0.20128783000643916</v>
      </c>
      <c r="L94" s="55">
        <v>242</v>
      </c>
      <c r="M94" s="59">
        <v>1.5582743077913715E-2</v>
      </c>
      <c r="N94" s="53">
        <v>12163</v>
      </c>
      <c r="O94" s="60">
        <v>0.78319381841596913</v>
      </c>
    </row>
    <row r="95" spans="1:15" x14ac:dyDescent="0.2">
      <c r="A95" t="s">
        <v>221</v>
      </c>
      <c r="B95" s="50">
        <v>1054</v>
      </c>
      <c r="C95" s="50">
        <v>845</v>
      </c>
      <c r="D95" s="50">
        <v>2764</v>
      </c>
      <c r="E95" s="50">
        <v>0</v>
      </c>
      <c r="F95" s="15">
        <v>6991</v>
      </c>
      <c r="G95" s="57">
        <v>0.22603474158267209</v>
      </c>
      <c r="H95" s="57">
        <v>0.18121381085138322</v>
      </c>
      <c r="I95" s="57">
        <v>0.59275144756594467</v>
      </c>
      <c r="J95" s="51">
        <v>2858</v>
      </c>
      <c r="K95" s="58">
        <v>0.61291014368432339</v>
      </c>
      <c r="L95" s="55">
        <v>22</v>
      </c>
      <c r="M95" s="59">
        <v>4.7179927085567236E-3</v>
      </c>
      <c r="N95" s="53">
        <v>1783</v>
      </c>
      <c r="O95" s="60">
        <v>0.38237186360711989</v>
      </c>
    </row>
    <row r="96" spans="1:15" x14ac:dyDescent="0.2">
      <c r="A96" t="s">
        <v>222</v>
      </c>
      <c r="B96" s="50">
        <v>4325</v>
      </c>
      <c r="C96" s="50">
        <v>2950</v>
      </c>
      <c r="D96" s="50">
        <v>7658</v>
      </c>
      <c r="E96" s="50">
        <v>4</v>
      </c>
      <c r="F96" s="15">
        <v>20720</v>
      </c>
      <c r="G96" s="57">
        <v>0.28962700060269203</v>
      </c>
      <c r="H96" s="57">
        <v>0.19754905243420612</v>
      </c>
      <c r="I96" s="57">
        <v>0.51282394696310185</v>
      </c>
      <c r="J96" s="51">
        <v>3411</v>
      </c>
      <c r="K96" s="58">
        <v>0.22842027723833122</v>
      </c>
      <c r="L96" s="55">
        <v>200</v>
      </c>
      <c r="M96" s="59">
        <v>1.3393156097234312E-2</v>
      </c>
      <c r="N96" s="53">
        <v>11326</v>
      </c>
      <c r="O96" s="60">
        <v>0.75845442978637911</v>
      </c>
    </row>
    <row r="97" spans="1:15" x14ac:dyDescent="0.2">
      <c r="A97" t="s">
        <v>223</v>
      </c>
      <c r="B97" s="50">
        <v>991</v>
      </c>
      <c r="C97" s="50">
        <v>773</v>
      </c>
      <c r="D97" s="50">
        <v>1861</v>
      </c>
      <c r="E97" s="50">
        <v>0</v>
      </c>
      <c r="F97" s="15">
        <v>4913</v>
      </c>
      <c r="G97" s="57">
        <v>0.2733793103448276</v>
      </c>
      <c r="H97" s="57">
        <v>0.21324137931034481</v>
      </c>
      <c r="I97" s="57">
        <v>0.51337931034482753</v>
      </c>
      <c r="J97" s="51">
        <v>1312</v>
      </c>
      <c r="K97" s="58">
        <v>0.3619310344827586</v>
      </c>
      <c r="L97" s="55">
        <v>38</v>
      </c>
      <c r="M97" s="59">
        <v>1.0482758620689656E-2</v>
      </c>
      <c r="N97" s="53">
        <v>2275</v>
      </c>
      <c r="O97" s="60">
        <v>0.62758620689655176</v>
      </c>
    </row>
    <row r="98" spans="1:15" x14ac:dyDescent="0.2">
      <c r="A98" t="s">
        <v>224</v>
      </c>
      <c r="B98" s="50">
        <v>1466</v>
      </c>
      <c r="C98" s="50">
        <v>2443</v>
      </c>
      <c r="D98" s="50">
        <v>6546</v>
      </c>
      <c r="E98" s="50">
        <v>0</v>
      </c>
      <c r="F98" s="15">
        <v>15033</v>
      </c>
      <c r="G98" s="57">
        <v>0.14021999043519848</v>
      </c>
      <c r="H98" s="57">
        <v>0.23366810138689623</v>
      </c>
      <c r="I98" s="57">
        <v>0.6261119081779053</v>
      </c>
      <c r="J98" s="51">
        <v>4168</v>
      </c>
      <c r="K98" s="58">
        <v>0.39866092778574846</v>
      </c>
      <c r="L98" s="55">
        <v>118</v>
      </c>
      <c r="M98" s="59">
        <v>1.1286465805834528E-2</v>
      </c>
      <c r="N98" s="53">
        <v>6169</v>
      </c>
      <c r="O98" s="60">
        <v>0.59005260640841706</v>
      </c>
    </row>
    <row r="99" spans="1:15" x14ac:dyDescent="0.2">
      <c r="A99" t="s">
        <v>225</v>
      </c>
      <c r="B99" s="50">
        <v>1286</v>
      </c>
      <c r="C99" s="50">
        <v>1702</v>
      </c>
      <c r="D99" s="50">
        <v>3707</v>
      </c>
      <c r="E99" s="50">
        <v>1</v>
      </c>
      <c r="F99" s="15">
        <v>9292</v>
      </c>
      <c r="G99" s="57">
        <v>0.19208364451082899</v>
      </c>
      <c r="H99" s="57">
        <v>0.25421956684092606</v>
      </c>
      <c r="I99" s="57">
        <v>0.55369678864824501</v>
      </c>
      <c r="J99" s="51">
        <v>2612</v>
      </c>
      <c r="K99" s="58">
        <v>0.39014189693801343</v>
      </c>
      <c r="L99" s="55">
        <v>68</v>
      </c>
      <c r="M99" s="59">
        <v>1.0156833457804331E-2</v>
      </c>
      <c r="N99" s="53">
        <v>4016</v>
      </c>
      <c r="O99" s="60">
        <v>0.59985063480209111</v>
      </c>
    </row>
    <row r="100" spans="1:15" x14ac:dyDescent="0.2">
      <c r="A100" t="s">
        <v>226</v>
      </c>
      <c r="B100" s="50">
        <v>3444</v>
      </c>
      <c r="C100" s="50">
        <v>2486</v>
      </c>
      <c r="D100" s="50">
        <v>4940</v>
      </c>
      <c r="E100" s="50">
        <v>7</v>
      </c>
      <c r="F100" s="15">
        <v>15337</v>
      </c>
      <c r="G100" s="57">
        <v>0.31683532658693653</v>
      </c>
      <c r="H100" s="57">
        <v>0.22870285188592457</v>
      </c>
      <c r="I100" s="57">
        <v>0.45446182152713893</v>
      </c>
      <c r="J100" s="51">
        <v>4287</v>
      </c>
      <c r="K100" s="58">
        <v>0.39438822447102118</v>
      </c>
      <c r="L100" s="55">
        <v>66</v>
      </c>
      <c r="M100" s="59">
        <v>6.0717571297148115E-3</v>
      </c>
      <c r="N100" s="53">
        <v>6524</v>
      </c>
      <c r="O100" s="60">
        <v>0.60018399264029443</v>
      </c>
    </row>
    <row r="101" spans="1:15" x14ac:dyDescent="0.2">
      <c r="A101" t="s">
        <v>227</v>
      </c>
      <c r="B101" s="50">
        <v>711</v>
      </c>
      <c r="C101" s="50">
        <v>486</v>
      </c>
      <c r="D101" s="50">
        <v>1634</v>
      </c>
      <c r="E101" s="50">
        <v>3</v>
      </c>
      <c r="F101" s="15">
        <v>3912</v>
      </c>
      <c r="G101" s="57">
        <v>0.25114800423878486</v>
      </c>
      <c r="H101" s="57">
        <v>0.17167078770752384</v>
      </c>
      <c r="I101" s="57">
        <v>0.57718120805369133</v>
      </c>
      <c r="J101" s="51">
        <v>748</v>
      </c>
      <c r="K101" s="58">
        <v>0.26421759095725894</v>
      </c>
      <c r="L101" s="55">
        <v>20</v>
      </c>
      <c r="M101" s="59">
        <v>7.0646414694454252E-3</v>
      </c>
      <c r="N101" s="53">
        <v>2066</v>
      </c>
      <c r="O101" s="60">
        <v>0.72977746379371244</v>
      </c>
    </row>
    <row r="102" spans="1:15" x14ac:dyDescent="0.2">
      <c r="A102" t="s">
        <v>228</v>
      </c>
      <c r="B102" s="50">
        <v>2385</v>
      </c>
      <c r="C102" s="50">
        <v>2189</v>
      </c>
      <c r="D102" s="50">
        <v>4381</v>
      </c>
      <c r="E102" s="50">
        <v>7</v>
      </c>
      <c r="F102" s="15">
        <v>13474</v>
      </c>
      <c r="G102" s="57">
        <v>0.26633165829145727</v>
      </c>
      <c r="H102" s="57">
        <v>0.24444444444444444</v>
      </c>
      <c r="I102" s="57">
        <v>0.48922389726409826</v>
      </c>
      <c r="J102" s="51">
        <v>3993</v>
      </c>
      <c r="K102" s="58">
        <v>0.44589614740368511</v>
      </c>
      <c r="L102" s="55">
        <v>34</v>
      </c>
      <c r="M102" s="59">
        <v>3.7967615857063095E-3</v>
      </c>
      <c r="N102" s="53">
        <v>4935</v>
      </c>
      <c r="O102" s="60">
        <v>0.5510887772194305</v>
      </c>
    </row>
    <row r="103" spans="1:15" x14ac:dyDescent="0.2">
      <c r="A103" t="s">
        <v>229</v>
      </c>
      <c r="B103" s="50">
        <v>3434</v>
      </c>
      <c r="C103" s="50">
        <v>2461</v>
      </c>
      <c r="D103" s="50">
        <v>9687</v>
      </c>
      <c r="E103" s="50">
        <v>8</v>
      </c>
      <c r="F103" s="15">
        <v>21138</v>
      </c>
      <c r="G103" s="57">
        <v>0.2203824926196894</v>
      </c>
      <c r="H103" s="57">
        <v>0.157938647156976</v>
      </c>
      <c r="I103" s="57">
        <v>0.62167886022333463</v>
      </c>
      <c r="J103" s="51">
        <v>4385</v>
      </c>
      <c r="K103" s="58">
        <v>0.28141445257348224</v>
      </c>
      <c r="L103" s="55">
        <v>148</v>
      </c>
      <c r="M103" s="59">
        <v>9.4981388781927873E-3</v>
      </c>
      <c r="N103" s="53">
        <v>11057</v>
      </c>
      <c r="O103" s="60">
        <v>0.70960082146065973</v>
      </c>
    </row>
    <row r="104" spans="1:15" x14ac:dyDescent="0.2">
      <c r="A104" t="s">
        <v>230</v>
      </c>
      <c r="B104" s="50">
        <v>1371</v>
      </c>
      <c r="C104" s="50">
        <v>669</v>
      </c>
      <c r="D104" s="50">
        <v>1927</v>
      </c>
      <c r="E104" s="50">
        <v>0</v>
      </c>
      <c r="F104" s="15">
        <v>5463</v>
      </c>
      <c r="G104" s="57">
        <v>0.34560120998235444</v>
      </c>
      <c r="H104" s="57">
        <v>0.16864129064784472</v>
      </c>
      <c r="I104" s="57">
        <v>0.48575749936980084</v>
      </c>
      <c r="J104" s="51">
        <v>980</v>
      </c>
      <c r="K104" s="58">
        <v>0.24703806402823292</v>
      </c>
      <c r="L104" s="55">
        <v>27</v>
      </c>
      <c r="M104" s="59">
        <v>6.8061507436349891E-3</v>
      </c>
      <c r="N104" s="53">
        <v>2960</v>
      </c>
      <c r="O104" s="60">
        <v>0.74615578522813208</v>
      </c>
    </row>
    <row r="105" spans="1:15" x14ac:dyDescent="0.2">
      <c r="A105" t="s">
        <v>231</v>
      </c>
      <c r="B105" s="50">
        <v>2412</v>
      </c>
      <c r="C105" s="50">
        <v>1997</v>
      </c>
      <c r="D105" s="50">
        <v>7292</v>
      </c>
      <c r="E105" s="50">
        <v>5</v>
      </c>
      <c r="F105" s="15">
        <v>14824</v>
      </c>
      <c r="G105" s="57">
        <v>0.20613622767284848</v>
      </c>
      <c r="H105" s="57">
        <v>0.17066917357490813</v>
      </c>
      <c r="I105" s="57">
        <v>0.62319459875224337</v>
      </c>
      <c r="J105" s="51">
        <v>3353</v>
      </c>
      <c r="K105" s="58">
        <v>0.28655670455516624</v>
      </c>
      <c r="L105" s="55">
        <v>122</v>
      </c>
      <c r="M105" s="59">
        <v>1.0426459276984873E-2</v>
      </c>
      <c r="N105" s="53">
        <v>8231</v>
      </c>
      <c r="O105" s="60">
        <v>0.70344415007264338</v>
      </c>
    </row>
    <row r="106" spans="1:15" x14ac:dyDescent="0.2">
      <c r="A106" t="s">
        <v>232</v>
      </c>
      <c r="B106" s="50">
        <v>4473</v>
      </c>
      <c r="C106" s="50">
        <v>2062</v>
      </c>
      <c r="D106" s="50">
        <v>8854</v>
      </c>
      <c r="E106" s="50">
        <v>0</v>
      </c>
      <c r="F106" s="15">
        <v>22284</v>
      </c>
      <c r="G106" s="57">
        <v>0.29066216128403405</v>
      </c>
      <c r="H106" s="57">
        <v>0.13399181233348495</v>
      </c>
      <c r="I106" s="57">
        <v>0.575346026382481</v>
      </c>
      <c r="J106" s="51">
        <v>2301</v>
      </c>
      <c r="K106" s="58">
        <v>0.1495223861199558</v>
      </c>
      <c r="L106" s="55">
        <v>144</v>
      </c>
      <c r="M106" s="59">
        <v>9.3573331600493859E-3</v>
      </c>
      <c r="N106" s="53">
        <v>12944</v>
      </c>
      <c r="O106" s="60">
        <v>0.84112028071999478</v>
      </c>
    </row>
    <row r="107" spans="1:15" x14ac:dyDescent="0.2">
      <c r="A107" t="s">
        <v>233</v>
      </c>
      <c r="B107" s="50">
        <v>13403</v>
      </c>
      <c r="C107" s="50">
        <v>24279</v>
      </c>
      <c r="D107" s="50">
        <v>42780</v>
      </c>
      <c r="E107" s="50">
        <v>52</v>
      </c>
      <c r="F107" s="15">
        <v>130878</v>
      </c>
      <c r="G107" s="57">
        <v>0.16657552633541298</v>
      </c>
      <c r="H107" s="57">
        <v>0.30174492306927492</v>
      </c>
      <c r="I107" s="57">
        <v>0.53167955059531202</v>
      </c>
      <c r="J107" s="51">
        <v>49446</v>
      </c>
      <c r="K107" s="58">
        <v>0.61452611170490423</v>
      </c>
      <c r="L107" s="55">
        <v>961</v>
      </c>
      <c r="M107" s="59">
        <v>1.1943526136561359E-2</v>
      </c>
      <c r="N107" s="53">
        <v>30107</v>
      </c>
      <c r="O107" s="60">
        <v>0.3741766299619696</v>
      </c>
    </row>
    <row r="108" spans="1:15" x14ac:dyDescent="0.2">
      <c r="A108" t="s">
        <v>234</v>
      </c>
      <c r="B108" s="50">
        <v>17922</v>
      </c>
      <c r="C108" s="50">
        <v>15485</v>
      </c>
      <c r="D108" s="50">
        <v>20788</v>
      </c>
      <c r="E108" s="50">
        <v>39</v>
      </c>
      <c r="F108" s="15">
        <v>78994</v>
      </c>
      <c r="G108" s="57">
        <v>0.3306947135344589</v>
      </c>
      <c r="H108" s="57">
        <v>0.28572746563336099</v>
      </c>
      <c r="I108" s="57">
        <v>0.38357782083218012</v>
      </c>
      <c r="J108" s="51">
        <v>29789</v>
      </c>
      <c r="K108" s="58">
        <v>0.5496632530676262</v>
      </c>
      <c r="L108" s="55">
        <v>576</v>
      </c>
      <c r="M108" s="59">
        <v>1.0628286742319403E-2</v>
      </c>
      <c r="N108" s="53">
        <v>23869</v>
      </c>
      <c r="O108" s="60">
        <v>0.44042808377156561</v>
      </c>
    </row>
    <row r="109" spans="1:15" x14ac:dyDescent="0.2">
      <c r="A109" t="s">
        <v>235</v>
      </c>
      <c r="B109" s="50">
        <v>3516</v>
      </c>
      <c r="C109" s="50">
        <v>5765</v>
      </c>
      <c r="D109" s="50">
        <v>15882</v>
      </c>
      <c r="E109" s="50">
        <v>5</v>
      </c>
      <c r="F109" s="15">
        <v>30071</v>
      </c>
      <c r="G109" s="57">
        <v>0.13972896713428445</v>
      </c>
      <c r="H109" s="57">
        <v>0.22910622739736916</v>
      </c>
      <c r="I109" s="57">
        <v>0.63116480546834641</v>
      </c>
      <c r="J109" s="51">
        <v>8162</v>
      </c>
      <c r="K109" s="58">
        <v>0.32436513929181737</v>
      </c>
      <c r="L109" s="55">
        <v>411</v>
      </c>
      <c r="M109" s="59">
        <v>1.6333505543854071E-2</v>
      </c>
      <c r="N109" s="53">
        <v>16595</v>
      </c>
      <c r="O109" s="60">
        <v>0.65950005961133407</v>
      </c>
    </row>
    <row r="110" spans="1:15" x14ac:dyDescent="0.2">
      <c r="A110" t="s">
        <v>236</v>
      </c>
      <c r="B110" s="50">
        <v>1504</v>
      </c>
      <c r="C110" s="50">
        <v>1844</v>
      </c>
      <c r="D110" s="50">
        <v>4781</v>
      </c>
      <c r="E110" s="50">
        <v>4</v>
      </c>
      <c r="F110" s="15">
        <v>10844</v>
      </c>
      <c r="G110" s="57">
        <v>0.18501660720875876</v>
      </c>
      <c r="H110" s="57">
        <v>0.22684217000861115</v>
      </c>
      <c r="I110" s="57">
        <v>0.58814122278263004</v>
      </c>
      <c r="J110" s="51">
        <v>2439</v>
      </c>
      <c r="K110" s="58">
        <v>0.30003690490835283</v>
      </c>
      <c r="L110" s="55">
        <v>102</v>
      </c>
      <c r="M110" s="59">
        <v>1.2547668839955714E-2</v>
      </c>
      <c r="N110" s="53">
        <v>5592</v>
      </c>
      <c r="O110" s="60">
        <v>0.68790749169639565</v>
      </c>
    </row>
    <row r="111" spans="1:15" x14ac:dyDescent="0.2">
      <c r="A111" t="s">
        <v>237</v>
      </c>
      <c r="B111" s="50">
        <v>13799</v>
      </c>
      <c r="C111" s="50">
        <v>20399</v>
      </c>
      <c r="D111" s="50">
        <v>51099</v>
      </c>
      <c r="E111" s="50">
        <v>75</v>
      </c>
      <c r="F111" s="15">
        <v>114945</v>
      </c>
      <c r="G111" s="57">
        <v>0.16177591240020164</v>
      </c>
      <c r="H111" s="57">
        <v>0.23915260794635215</v>
      </c>
      <c r="I111" s="57">
        <v>0.5990714796534462</v>
      </c>
      <c r="J111" s="51">
        <v>29695</v>
      </c>
      <c r="K111" s="58">
        <v>0.34813651124893019</v>
      </c>
      <c r="L111" s="55">
        <v>1160</v>
      </c>
      <c r="M111" s="59">
        <v>1.3599540429323423E-2</v>
      </c>
      <c r="N111" s="53">
        <v>54517</v>
      </c>
      <c r="O111" s="60">
        <v>0.63914322895295261</v>
      </c>
    </row>
    <row r="112" spans="1:15" x14ac:dyDescent="0.2">
      <c r="A112" t="s">
        <v>238</v>
      </c>
      <c r="B112" s="50">
        <v>1807</v>
      </c>
      <c r="C112" s="50">
        <v>2563</v>
      </c>
      <c r="D112" s="50">
        <v>8166</v>
      </c>
      <c r="E112" s="50">
        <v>17</v>
      </c>
      <c r="F112" s="15">
        <v>17996</v>
      </c>
      <c r="G112" s="57">
        <v>0.14414486279514996</v>
      </c>
      <c r="H112" s="57">
        <v>0.20445118059987236</v>
      </c>
      <c r="I112" s="57">
        <v>0.65140395660497763</v>
      </c>
      <c r="J112" s="51">
        <v>5922</v>
      </c>
      <c r="K112" s="58">
        <v>0.47239948947032545</v>
      </c>
      <c r="L112" s="55">
        <v>125</v>
      </c>
      <c r="M112" s="59">
        <v>9.9712827058072752E-3</v>
      </c>
      <c r="N112" s="53">
        <v>6506</v>
      </c>
      <c r="O112" s="60">
        <v>0.51898532227185701</v>
      </c>
    </row>
    <row r="113" spans="1:15" x14ac:dyDescent="0.2">
      <c r="A113" t="s">
        <v>239</v>
      </c>
      <c r="B113" s="50">
        <v>6773</v>
      </c>
      <c r="C113" s="50">
        <v>2991</v>
      </c>
      <c r="D113" s="50">
        <v>7395</v>
      </c>
      <c r="E113" s="50">
        <v>8</v>
      </c>
      <c r="F113" s="15">
        <v>23766</v>
      </c>
      <c r="G113" s="57">
        <v>0.39471997202634185</v>
      </c>
      <c r="H113" s="57">
        <v>0.17431085727606505</v>
      </c>
      <c r="I113" s="57">
        <v>0.43096917069759311</v>
      </c>
      <c r="J113" s="51">
        <v>2824</v>
      </c>
      <c r="K113" s="58">
        <v>0.16457835538201526</v>
      </c>
      <c r="L113" s="55">
        <v>233</v>
      </c>
      <c r="M113" s="59">
        <v>1.3578879888105367E-2</v>
      </c>
      <c r="N113" s="53">
        <v>14110</v>
      </c>
      <c r="O113" s="60">
        <v>0.82230899236552246</v>
      </c>
    </row>
    <row r="114" spans="1:15" x14ac:dyDescent="0.2">
      <c r="A114" t="s">
        <v>240</v>
      </c>
      <c r="B114" s="50">
        <v>1343</v>
      </c>
      <c r="C114" s="50">
        <v>1297</v>
      </c>
      <c r="D114" s="50">
        <v>6407</v>
      </c>
      <c r="E114" s="50">
        <v>0</v>
      </c>
      <c r="F114" s="15">
        <v>12717</v>
      </c>
      <c r="G114" s="57">
        <v>0.14844699900519509</v>
      </c>
      <c r="H114" s="57">
        <v>0.14336244058804024</v>
      </c>
      <c r="I114" s="57">
        <v>0.70819056040676465</v>
      </c>
      <c r="J114" s="51">
        <v>1100</v>
      </c>
      <c r="K114" s="58">
        <v>0.12158726649718139</v>
      </c>
      <c r="L114" s="55">
        <v>49</v>
      </c>
      <c r="M114" s="59">
        <v>5.4161600530562614E-3</v>
      </c>
      <c r="N114" s="53">
        <v>7898</v>
      </c>
      <c r="O114" s="60">
        <v>0.87299657344976234</v>
      </c>
    </row>
    <row r="115" spans="1:15" x14ac:dyDescent="0.2">
      <c r="A115" t="s">
        <v>241</v>
      </c>
      <c r="B115" s="50">
        <v>2653</v>
      </c>
      <c r="C115" s="50">
        <v>1462</v>
      </c>
      <c r="D115" s="50">
        <v>6600</v>
      </c>
      <c r="E115" s="50">
        <v>5</v>
      </c>
      <c r="F115" s="51">
        <v>13942</v>
      </c>
      <c r="G115" s="57">
        <v>0.24759682687820811</v>
      </c>
      <c r="H115" s="57">
        <v>0.13644423705086328</v>
      </c>
      <c r="I115" s="57">
        <v>0.61595893607092855</v>
      </c>
      <c r="J115" s="51">
        <v>1505</v>
      </c>
      <c r="K115" s="58">
        <v>0.14045730284647689</v>
      </c>
      <c r="L115" s="55">
        <v>88</v>
      </c>
      <c r="M115" s="59">
        <v>8.2127858142790489E-3</v>
      </c>
      <c r="N115" s="53">
        <v>9127</v>
      </c>
      <c r="O115" s="60">
        <v>0.85179654689687356</v>
      </c>
    </row>
    <row r="116" spans="1:15" x14ac:dyDescent="0.2">
      <c r="A116" t="s">
        <v>242</v>
      </c>
      <c r="B116" s="50">
        <v>3513</v>
      </c>
      <c r="C116" s="50">
        <v>2818</v>
      </c>
      <c r="D116" s="50">
        <v>11044</v>
      </c>
      <c r="E116" s="50">
        <v>21</v>
      </c>
      <c r="F116" s="15">
        <v>24189</v>
      </c>
      <c r="G116" s="57">
        <v>0.20218705035971224</v>
      </c>
      <c r="H116" s="57">
        <v>0.16218705035971223</v>
      </c>
      <c r="I116" s="57">
        <v>0.63562589928057556</v>
      </c>
      <c r="J116" s="51">
        <v>3657</v>
      </c>
      <c r="K116" s="58">
        <v>0.21047482014388488</v>
      </c>
      <c r="L116" s="55">
        <v>152</v>
      </c>
      <c r="M116" s="59">
        <v>8.7482014388489213E-3</v>
      </c>
      <c r="N116" s="53">
        <v>13587</v>
      </c>
      <c r="O116" s="60">
        <v>0.78198561151079138</v>
      </c>
    </row>
    <row r="117" spans="1:15" x14ac:dyDescent="0.2">
      <c r="A117" t="s">
        <v>243</v>
      </c>
      <c r="B117" s="50">
        <v>555</v>
      </c>
      <c r="C117" s="50">
        <v>681</v>
      </c>
      <c r="D117" s="50">
        <v>2844</v>
      </c>
      <c r="E117" s="50">
        <v>1</v>
      </c>
      <c r="F117" s="15">
        <v>5687</v>
      </c>
      <c r="G117" s="57">
        <v>0.13602941176470587</v>
      </c>
      <c r="H117" s="57">
        <v>0.16691176470588234</v>
      </c>
      <c r="I117" s="57">
        <v>0.69705882352941173</v>
      </c>
      <c r="J117" s="51">
        <v>1230</v>
      </c>
      <c r="K117" s="58">
        <v>0.3014705882352941</v>
      </c>
      <c r="L117" s="55">
        <v>36</v>
      </c>
      <c r="M117" s="59">
        <v>8.8235294117647058E-3</v>
      </c>
      <c r="N117" s="53">
        <v>2815</v>
      </c>
      <c r="O117" s="60">
        <v>0.68995098039215685</v>
      </c>
    </row>
    <row r="118" spans="1:15" x14ac:dyDescent="0.2">
      <c r="A118" t="s">
        <v>244</v>
      </c>
      <c r="B118" s="50">
        <v>2052</v>
      </c>
      <c r="C118" s="50">
        <v>3272</v>
      </c>
      <c r="D118" s="50">
        <v>6530</v>
      </c>
      <c r="E118" s="50">
        <v>1</v>
      </c>
      <c r="F118" s="15">
        <v>16003</v>
      </c>
      <c r="G118" s="57">
        <v>0.17310612451493168</v>
      </c>
      <c r="H118" s="57">
        <v>0.27602497047410157</v>
      </c>
      <c r="I118" s="57">
        <v>0.55086890501096675</v>
      </c>
      <c r="J118" s="51">
        <v>3448</v>
      </c>
      <c r="K118" s="58">
        <v>0.29087227939935889</v>
      </c>
      <c r="L118" s="55">
        <v>116</v>
      </c>
      <c r="M118" s="59">
        <v>9.7857263371014004E-3</v>
      </c>
      <c r="N118" s="53">
        <v>8291</v>
      </c>
      <c r="O118" s="60">
        <v>0.6994263539733423</v>
      </c>
    </row>
    <row r="119" spans="1:15" x14ac:dyDescent="0.2">
      <c r="A119" t="s">
        <v>245</v>
      </c>
      <c r="B119" s="50">
        <v>329</v>
      </c>
      <c r="C119" s="50">
        <v>226</v>
      </c>
      <c r="D119" s="50">
        <v>550</v>
      </c>
      <c r="E119" s="50">
        <v>1</v>
      </c>
      <c r="F119" s="15">
        <v>1547</v>
      </c>
      <c r="G119" s="57">
        <v>0.29773755656108597</v>
      </c>
      <c r="H119" s="57">
        <v>0.20452488687782805</v>
      </c>
      <c r="I119" s="57">
        <v>0.49773755656108598</v>
      </c>
      <c r="J119" s="51">
        <v>497</v>
      </c>
      <c r="K119" s="58">
        <v>0.44977375565610861</v>
      </c>
      <c r="L119" s="55">
        <v>5</v>
      </c>
      <c r="M119" s="59">
        <v>4.5248868778280547E-3</v>
      </c>
      <c r="N119" s="53">
        <v>604</v>
      </c>
      <c r="O119" s="60">
        <v>0.5466063348416289</v>
      </c>
    </row>
    <row r="120" spans="1:15" x14ac:dyDescent="0.2">
      <c r="A120" t="s">
        <v>246</v>
      </c>
      <c r="B120" s="50">
        <v>1434</v>
      </c>
      <c r="C120" s="50">
        <v>2584</v>
      </c>
      <c r="D120" s="50">
        <v>5550</v>
      </c>
      <c r="E120" s="50">
        <v>0</v>
      </c>
      <c r="F120" s="15">
        <v>13072</v>
      </c>
      <c r="G120" s="57">
        <v>0.14987458193979933</v>
      </c>
      <c r="H120" s="57">
        <v>0.27006688963210701</v>
      </c>
      <c r="I120" s="57">
        <v>0.58005852842809369</v>
      </c>
      <c r="J120" s="51">
        <v>1984</v>
      </c>
      <c r="K120" s="58">
        <v>0.20735785953177258</v>
      </c>
      <c r="L120" s="55">
        <v>110</v>
      </c>
      <c r="M120" s="59">
        <v>1.1496655518394648E-2</v>
      </c>
      <c r="N120" s="53">
        <v>7474</v>
      </c>
      <c r="O120" s="60">
        <v>0.78114548494983282</v>
      </c>
    </row>
    <row r="121" spans="1:15" x14ac:dyDescent="0.2">
      <c r="A121" t="s">
        <v>247</v>
      </c>
      <c r="B121" s="50">
        <v>728</v>
      </c>
      <c r="C121" s="50">
        <v>679</v>
      </c>
      <c r="D121" s="50">
        <v>1663</v>
      </c>
      <c r="E121" s="50">
        <v>3</v>
      </c>
      <c r="F121" s="15">
        <v>4341</v>
      </c>
      <c r="G121" s="57">
        <v>0.23713355048859935</v>
      </c>
      <c r="H121" s="57">
        <v>0.22117263843648208</v>
      </c>
      <c r="I121" s="57">
        <v>0.54169381107491854</v>
      </c>
      <c r="J121" s="51">
        <v>1671</v>
      </c>
      <c r="K121" s="58">
        <v>0.54429967426710102</v>
      </c>
      <c r="L121" s="55">
        <v>12</v>
      </c>
      <c r="M121" s="59">
        <v>3.9087947882736158E-3</v>
      </c>
      <c r="N121" s="53">
        <v>1390</v>
      </c>
      <c r="O121" s="60">
        <v>0.45276872964169379</v>
      </c>
    </row>
    <row r="122" spans="1:15" x14ac:dyDescent="0.2">
      <c r="A122" t="s">
        <v>248</v>
      </c>
      <c r="B122" s="50">
        <v>20855</v>
      </c>
      <c r="C122" s="50">
        <v>27896</v>
      </c>
      <c r="D122" s="50">
        <v>38070</v>
      </c>
      <c r="E122" s="50">
        <v>188</v>
      </c>
      <c r="F122" s="15">
        <v>134749</v>
      </c>
      <c r="G122" s="57">
        <v>0.24020686239504269</v>
      </c>
      <c r="H122" s="57">
        <v>0.3213047534582647</v>
      </c>
      <c r="I122" s="57">
        <v>0.43848838414669261</v>
      </c>
      <c r="J122" s="51">
        <v>59119</v>
      </c>
      <c r="K122" s="58">
        <v>0.68092972898261939</v>
      </c>
      <c r="L122" s="55">
        <v>1110</v>
      </c>
      <c r="M122" s="59">
        <v>1.278492530608954E-2</v>
      </c>
      <c r="N122" s="53">
        <v>26780</v>
      </c>
      <c r="O122" s="60">
        <v>0.30845072044781791</v>
      </c>
    </row>
    <row r="123" spans="1:15" x14ac:dyDescent="0.2">
      <c r="A123" t="s">
        <v>249</v>
      </c>
      <c r="B123" s="50">
        <v>6194</v>
      </c>
      <c r="C123" s="50">
        <v>12547</v>
      </c>
      <c r="D123" s="50">
        <v>25901</v>
      </c>
      <c r="E123" s="50">
        <v>39</v>
      </c>
      <c r="F123" s="15">
        <v>65505</v>
      </c>
      <c r="G123" s="57">
        <v>0.13874826396666817</v>
      </c>
      <c r="H123" s="57">
        <v>0.28105819631736928</v>
      </c>
      <c r="I123" s="57">
        <v>0.58019353971596255</v>
      </c>
      <c r="J123" s="51">
        <v>31237</v>
      </c>
      <c r="K123" s="58">
        <v>0.69972223466690564</v>
      </c>
      <c r="L123" s="55">
        <v>430</v>
      </c>
      <c r="M123" s="59">
        <v>9.6321849379508093E-3</v>
      </c>
      <c r="N123" s="53">
        <v>13014</v>
      </c>
      <c r="O123" s="60">
        <v>0.29151919716858565</v>
      </c>
    </row>
    <row r="124" spans="1:15" x14ac:dyDescent="0.2">
      <c r="A124" t="s">
        <v>250</v>
      </c>
      <c r="B124" s="50">
        <v>373</v>
      </c>
      <c r="C124" s="50">
        <v>314</v>
      </c>
      <c r="D124" s="50">
        <v>1587</v>
      </c>
      <c r="E124" s="50">
        <v>1</v>
      </c>
      <c r="F124" s="15">
        <v>2882</v>
      </c>
      <c r="G124" s="57">
        <v>0.16402814423922604</v>
      </c>
      <c r="H124" s="57">
        <v>0.13808267370272648</v>
      </c>
      <c r="I124" s="57">
        <v>0.69788918205804751</v>
      </c>
      <c r="J124" s="51">
        <v>462</v>
      </c>
      <c r="K124" s="58">
        <v>0.20316622691292877</v>
      </c>
      <c r="L124" s="55">
        <v>13</v>
      </c>
      <c r="M124" s="59">
        <v>5.7167985927880386E-3</v>
      </c>
      <c r="N124" s="53">
        <v>1800</v>
      </c>
      <c r="O124" s="60">
        <v>0.79155672823218992</v>
      </c>
    </row>
    <row r="125" spans="1:15" x14ac:dyDescent="0.2">
      <c r="A125" t="s">
        <v>251</v>
      </c>
      <c r="B125" s="50">
        <v>1884</v>
      </c>
      <c r="C125" s="50">
        <v>1300</v>
      </c>
      <c r="D125" s="50">
        <v>3425</v>
      </c>
      <c r="E125" s="50">
        <v>18</v>
      </c>
      <c r="F125" s="51">
        <v>9918</v>
      </c>
      <c r="G125" s="57">
        <v>0.28506581933726738</v>
      </c>
      <c r="H125" s="57">
        <v>0.19670146769556665</v>
      </c>
      <c r="I125" s="57">
        <v>0.518232712967166</v>
      </c>
      <c r="J125" s="51">
        <v>2661</v>
      </c>
      <c r="K125" s="58">
        <v>0.40263277349069448</v>
      </c>
      <c r="L125" s="55">
        <v>51</v>
      </c>
      <c r="M125" s="59">
        <v>7.7167498865183841E-3</v>
      </c>
      <c r="N125" s="53">
        <v>3915</v>
      </c>
      <c r="O125" s="60">
        <v>0.59237403540626421</v>
      </c>
    </row>
    <row r="126" spans="1:15" x14ac:dyDescent="0.2">
      <c r="A126" t="s">
        <v>252</v>
      </c>
      <c r="B126" s="50">
        <v>1253</v>
      </c>
      <c r="C126" s="50">
        <v>551</v>
      </c>
      <c r="D126" s="50">
        <v>2084</v>
      </c>
      <c r="E126" s="50">
        <v>0</v>
      </c>
      <c r="F126" s="15">
        <v>5936</v>
      </c>
      <c r="G126" s="57">
        <v>0.32227366255144035</v>
      </c>
      <c r="H126" s="57">
        <v>0.14171810699588477</v>
      </c>
      <c r="I126" s="57">
        <v>0.53600823045267487</v>
      </c>
      <c r="J126" s="51">
        <v>1256</v>
      </c>
      <c r="K126" s="58">
        <v>0.32304526748971191</v>
      </c>
      <c r="L126" s="55">
        <v>19</v>
      </c>
      <c r="M126" s="59">
        <v>4.8868312757201649E-3</v>
      </c>
      <c r="N126" s="53">
        <v>2613</v>
      </c>
      <c r="O126" s="60">
        <v>0.67206790123456794</v>
      </c>
    </row>
    <row r="127" spans="1:15" x14ac:dyDescent="0.2">
      <c r="A127" t="s">
        <v>253</v>
      </c>
      <c r="B127" s="50">
        <v>7919</v>
      </c>
      <c r="C127" s="50">
        <v>7845</v>
      </c>
      <c r="D127" s="50">
        <v>13533</v>
      </c>
      <c r="E127" s="50">
        <v>914</v>
      </c>
      <c r="F127" s="15">
        <v>45985</v>
      </c>
      <c r="G127" s="57">
        <v>0.27030071338362288</v>
      </c>
      <c r="H127" s="57">
        <v>0.26777485749394137</v>
      </c>
      <c r="I127" s="57">
        <v>0.46192442912243575</v>
      </c>
      <c r="J127" s="51">
        <v>11828</v>
      </c>
      <c r="K127" s="58">
        <v>0.40372734409666516</v>
      </c>
      <c r="L127" s="55">
        <v>279</v>
      </c>
      <c r="M127" s="59">
        <v>9.5231593678533639E-3</v>
      </c>
      <c r="N127" s="53">
        <v>18104</v>
      </c>
      <c r="O127" s="60">
        <v>0.61794723009181829</v>
      </c>
    </row>
    <row r="128" spans="1:15" x14ac:dyDescent="0.2">
      <c r="A128" t="s">
        <v>254</v>
      </c>
      <c r="B128" s="50">
        <v>1559</v>
      </c>
      <c r="C128" s="50">
        <v>2199</v>
      </c>
      <c r="D128" s="50">
        <v>8127</v>
      </c>
      <c r="E128" s="50">
        <v>0</v>
      </c>
      <c r="F128" s="51">
        <v>18346</v>
      </c>
      <c r="G128" s="57">
        <v>0.13117374842238116</v>
      </c>
      <c r="H128" s="57">
        <v>0.1850231384097602</v>
      </c>
      <c r="I128" s="57">
        <v>0.68380311316785869</v>
      </c>
      <c r="J128" s="51">
        <v>2386</v>
      </c>
      <c r="K128" s="58">
        <v>0.20075725704669753</v>
      </c>
      <c r="L128" s="55">
        <v>132</v>
      </c>
      <c r="M128" s="59">
        <v>1.1106436684896928E-2</v>
      </c>
      <c r="N128" s="53">
        <v>9367</v>
      </c>
      <c r="O128" s="60">
        <v>0.78813630626840558</v>
      </c>
    </row>
    <row r="129" spans="1:15" x14ac:dyDescent="0.2">
      <c r="A129" t="s">
        <v>255</v>
      </c>
      <c r="B129" s="50">
        <v>523</v>
      </c>
      <c r="C129" s="50">
        <v>485</v>
      </c>
      <c r="D129" s="50">
        <v>970</v>
      </c>
      <c r="E129" s="50">
        <v>12</v>
      </c>
      <c r="F129" s="15">
        <v>2893</v>
      </c>
      <c r="G129" s="57">
        <v>0.26440849342770473</v>
      </c>
      <c r="H129" s="57">
        <v>0.24519716885743176</v>
      </c>
      <c r="I129" s="57">
        <v>0.49039433771486352</v>
      </c>
      <c r="J129" s="51">
        <v>1182</v>
      </c>
      <c r="K129" s="58">
        <v>0.59757330637007078</v>
      </c>
      <c r="L129" s="55">
        <v>7</v>
      </c>
      <c r="M129" s="59">
        <v>3.5389282103134479E-3</v>
      </c>
      <c r="N129" s="53">
        <v>801</v>
      </c>
      <c r="O129" s="60">
        <v>0.40495449949443885</v>
      </c>
    </row>
    <row r="130" spans="1:15" x14ac:dyDescent="0.2">
      <c r="A130" t="s">
        <v>256</v>
      </c>
      <c r="B130" s="50">
        <v>9251</v>
      </c>
      <c r="C130" s="50">
        <v>2897</v>
      </c>
      <c r="D130" s="50">
        <v>0</v>
      </c>
      <c r="E130" s="50">
        <v>0</v>
      </c>
      <c r="F130" s="15">
        <v>17800</v>
      </c>
      <c r="G130" s="57">
        <v>0.76152453078696081</v>
      </c>
      <c r="H130" s="57">
        <v>0.23847546921303919</v>
      </c>
      <c r="I130" s="57">
        <v>0</v>
      </c>
      <c r="J130" s="51">
        <v>6314</v>
      </c>
      <c r="K130" s="58">
        <v>0.51975633849193281</v>
      </c>
      <c r="L130" s="55">
        <v>101</v>
      </c>
      <c r="M130" s="59">
        <v>8.3141257820217324E-3</v>
      </c>
      <c r="N130" s="53">
        <v>5733</v>
      </c>
      <c r="O130" s="60">
        <v>0.47192953572604546</v>
      </c>
    </row>
    <row r="131" spans="1:15" x14ac:dyDescent="0.2">
      <c r="A131" t="s">
        <v>257</v>
      </c>
      <c r="B131" s="50">
        <v>1014</v>
      </c>
      <c r="C131" s="50">
        <v>1198</v>
      </c>
      <c r="D131" s="50">
        <v>1309</v>
      </c>
      <c r="E131" s="50">
        <v>1</v>
      </c>
      <c r="F131" s="15">
        <v>4563</v>
      </c>
      <c r="G131" s="57">
        <v>0.28798636750923035</v>
      </c>
      <c r="H131" s="57">
        <v>0.34024424879295656</v>
      </c>
      <c r="I131" s="57">
        <v>0.37176938369781309</v>
      </c>
      <c r="J131" s="51">
        <v>2114</v>
      </c>
      <c r="K131" s="58">
        <v>0.60039761431411531</v>
      </c>
      <c r="L131" s="55">
        <v>16</v>
      </c>
      <c r="M131" s="59">
        <v>4.5441635898892359E-3</v>
      </c>
      <c r="N131" s="53">
        <v>1392</v>
      </c>
      <c r="O131" s="60">
        <v>0.39534223232036353</v>
      </c>
    </row>
    <row r="132" spans="1:15" x14ac:dyDescent="0.2">
      <c r="A132" t="s">
        <v>258</v>
      </c>
      <c r="B132" s="50">
        <v>204</v>
      </c>
      <c r="C132" s="50">
        <v>302</v>
      </c>
      <c r="D132" s="50">
        <v>421</v>
      </c>
      <c r="E132" s="50">
        <v>1</v>
      </c>
      <c r="F132" s="15">
        <v>1245</v>
      </c>
      <c r="G132" s="57">
        <v>0.22006472491909385</v>
      </c>
      <c r="H132" s="57">
        <v>0.32578209277238401</v>
      </c>
      <c r="I132" s="57">
        <v>0.45415318230852214</v>
      </c>
      <c r="J132" s="51">
        <v>561</v>
      </c>
      <c r="K132" s="58">
        <v>0.60517799352750812</v>
      </c>
      <c r="L132" s="55">
        <v>7</v>
      </c>
      <c r="M132" s="59">
        <v>7.551240560949299E-3</v>
      </c>
      <c r="N132" s="53">
        <v>360</v>
      </c>
      <c r="O132" s="60">
        <v>0.38834951456310679</v>
      </c>
    </row>
    <row r="133" spans="1:15" x14ac:dyDescent="0.2">
      <c r="A133" t="s">
        <v>259</v>
      </c>
      <c r="B133" s="50">
        <v>1982</v>
      </c>
      <c r="C133" s="50">
        <v>1376</v>
      </c>
      <c r="D133" s="50">
        <v>4827</v>
      </c>
      <c r="E133" s="50">
        <v>0</v>
      </c>
      <c r="F133" s="15">
        <v>12184</v>
      </c>
      <c r="G133" s="57">
        <v>0.24215027489309712</v>
      </c>
      <c r="H133" s="57">
        <v>0.16811240073304826</v>
      </c>
      <c r="I133" s="57">
        <v>0.58973732437385462</v>
      </c>
      <c r="J133" s="51">
        <v>2062</v>
      </c>
      <c r="K133" s="58">
        <v>0.25192425167990223</v>
      </c>
      <c r="L133" s="55">
        <v>69</v>
      </c>
      <c r="M133" s="59">
        <v>8.4300549786194261E-3</v>
      </c>
      <c r="N133" s="53">
        <v>6054</v>
      </c>
      <c r="O133" s="60">
        <v>0.73964569334147834</v>
      </c>
    </row>
    <row r="134" spans="1:15" x14ac:dyDescent="0.2">
      <c r="A134" t="s">
        <v>260</v>
      </c>
      <c r="B134" s="50">
        <v>634</v>
      </c>
      <c r="C134" s="50">
        <v>785</v>
      </c>
      <c r="D134" s="50">
        <v>2408</v>
      </c>
      <c r="E134" s="50">
        <v>15</v>
      </c>
      <c r="F134" s="15">
        <v>5400</v>
      </c>
      <c r="G134" s="57">
        <v>0.16566501175855761</v>
      </c>
      <c r="H134" s="57">
        <v>0.20512150509537497</v>
      </c>
      <c r="I134" s="57">
        <v>0.6292134831460674</v>
      </c>
      <c r="J134" s="51">
        <v>1388</v>
      </c>
      <c r="K134" s="58">
        <v>0.36268617716226809</v>
      </c>
      <c r="L134" s="55">
        <v>34</v>
      </c>
      <c r="M134" s="59">
        <v>8.8842435327933112E-3</v>
      </c>
      <c r="N134" s="53">
        <v>2420</v>
      </c>
      <c r="O134" s="60">
        <v>0.63234909851058274</v>
      </c>
    </row>
    <row r="135" spans="1:15" x14ac:dyDescent="0.2">
      <c r="A135" t="s">
        <v>261</v>
      </c>
      <c r="B135" s="50">
        <v>1286</v>
      </c>
      <c r="C135" s="50">
        <v>978</v>
      </c>
      <c r="D135" s="50">
        <v>2060</v>
      </c>
      <c r="E135" s="50">
        <v>10</v>
      </c>
      <c r="F135" s="15">
        <v>6032</v>
      </c>
      <c r="G135" s="57">
        <v>0.29740980573543013</v>
      </c>
      <c r="H135" s="57">
        <v>0.22617946345975948</v>
      </c>
      <c r="I135" s="57">
        <v>0.47641073080481033</v>
      </c>
      <c r="J135" s="51">
        <v>1488</v>
      </c>
      <c r="K135" s="58">
        <v>0.3441258094357077</v>
      </c>
      <c r="L135" s="55">
        <v>21</v>
      </c>
      <c r="M135" s="59">
        <v>4.8566142460684551E-3</v>
      </c>
      <c r="N135" s="53">
        <v>2825</v>
      </c>
      <c r="O135" s="60">
        <v>0.65333024976873266</v>
      </c>
    </row>
    <row r="136" spans="1:15" x14ac:dyDescent="0.2">
      <c r="A136" t="s">
        <v>262</v>
      </c>
      <c r="B136" s="50">
        <v>1247</v>
      </c>
      <c r="C136" s="50">
        <v>1121</v>
      </c>
      <c r="D136" s="50">
        <v>2047</v>
      </c>
      <c r="E136" s="50">
        <v>1</v>
      </c>
      <c r="F136" s="15">
        <v>6594</v>
      </c>
      <c r="G136" s="57">
        <v>0.2824462061155153</v>
      </c>
      <c r="H136" s="57">
        <v>0.25390713476783694</v>
      </c>
      <c r="I136" s="57">
        <v>0.46364665911664782</v>
      </c>
      <c r="J136" s="51">
        <v>2376</v>
      </c>
      <c r="K136" s="58">
        <v>0.53816534541336358</v>
      </c>
      <c r="L136" s="55">
        <v>36</v>
      </c>
      <c r="M136" s="59">
        <v>8.154020385050963E-3</v>
      </c>
      <c r="N136" s="53">
        <v>2004</v>
      </c>
      <c r="O136" s="60">
        <v>0.4539071347678369</v>
      </c>
    </row>
    <row r="137" spans="1:15" x14ac:dyDescent="0.2">
      <c r="A137" t="s">
        <v>263</v>
      </c>
      <c r="B137" s="50">
        <v>4257</v>
      </c>
      <c r="C137" s="50">
        <v>4118</v>
      </c>
      <c r="D137" s="50">
        <v>13488</v>
      </c>
      <c r="E137" s="50">
        <v>9</v>
      </c>
      <c r="F137" s="15">
        <v>30028</v>
      </c>
      <c r="G137" s="57">
        <v>0.19471252801536842</v>
      </c>
      <c r="H137" s="57">
        <v>0.18835475460824225</v>
      </c>
      <c r="I137" s="57">
        <v>0.61693271737638933</v>
      </c>
      <c r="J137" s="51">
        <v>8708</v>
      </c>
      <c r="K137" s="58">
        <v>0.39829849517449573</v>
      </c>
      <c r="L137" s="55">
        <v>195</v>
      </c>
      <c r="M137" s="59">
        <v>8.9191785207885475E-3</v>
      </c>
      <c r="N137" s="53">
        <v>12969</v>
      </c>
      <c r="O137" s="60">
        <v>0.5931939806979829</v>
      </c>
    </row>
    <row r="138" spans="1:15" x14ac:dyDescent="0.2">
      <c r="A138" t="s">
        <v>264</v>
      </c>
      <c r="B138" s="50">
        <v>3885</v>
      </c>
      <c r="C138" s="50">
        <v>2714</v>
      </c>
      <c r="D138" s="50">
        <v>9653</v>
      </c>
      <c r="E138" s="50">
        <v>27</v>
      </c>
      <c r="F138" s="15">
        <v>24449</v>
      </c>
      <c r="G138" s="57">
        <v>0.23904750184592666</v>
      </c>
      <c r="H138" s="57">
        <v>0.1669948314053655</v>
      </c>
      <c r="I138" s="57">
        <v>0.59395766674870787</v>
      </c>
      <c r="J138" s="51">
        <v>5318</v>
      </c>
      <c r="K138" s="58">
        <v>0.32722126507506766</v>
      </c>
      <c r="L138" s="55">
        <v>177</v>
      </c>
      <c r="M138" s="59">
        <v>1.0890967265567314E-2</v>
      </c>
      <c r="N138" s="53">
        <v>10784</v>
      </c>
      <c r="O138" s="60">
        <v>0.66354910164902781</v>
      </c>
    </row>
    <row r="139" spans="1:15" x14ac:dyDescent="0.2">
      <c r="A139" t="s">
        <v>265</v>
      </c>
      <c r="B139" s="50">
        <v>2415</v>
      </c>
      <c r="C139" s="50">
        <v>2311</v>
      </c>
      <c r="D139" s="50">
        <v>6178</v>
      </c>
      <c r="E139" s="50">
        <v>10</v>
      </c>
      <c r="F139" s="15">
        <v>16134</v>
      </c>
      <c r="G139" s="57">
        <v>0.22147835656639767</v>
      </c>
      <c r="H139" s="57">
        <v>0.21194057226705795</v>
      </c>
      <c r="I139" s="57">
        <v>0.56658107116654444</v>
      </c>
      <c r="J139" s="51">
        <v>2938</v>
      </c>
      <c r="K139" s="58">
        <v>0.26944240645634632</v>
      </c>
      <c r="L139" s="55">
        <v>103</v>
      </c>
      <c r="M139" s="59">
        <v>9.4460748349229646E-3</v>
      </c>
      <c r="N139" s="53">
        <v>7873</v>
      </c>
      <c r="O139" s="60">
        <v>0.72202861335289803</v>
      </c>
    </row>
    <row r="140" spans="1:15" x14ac:dyDescent="0.2">
      <c r="A140" t="s">
        <v>266</v>
      </c>
      <c r="B140" s="50">
        <v>1119</v>
      </c>
      <c r="C140" s="50">
        <v>1948</v>
      </c>
      <c r="D140" s="50">
        <v>4903</v>
      </c>
      <c r="E140" s="50">
        <v>9</v>
      </c>
      <c r="F140" s="15">
        <v>10693</v>
      </c>
      <c r="G140" s="57">
        <v>0.14040150564617315</v>
      </c>
      <c r="H140" s="57">
        <v>0.24441656210790463</v>
      </c>
      <c r="I140" s="57">
        <v>0.61518193224592221</v>
      </c>
      <c r="J140" s="51">
        <v>1550</v>
      </c>
      <c r="K140" s="58">
        <v>0.19447929736511921</v>
      </c>
      <c r="L140" s="55">
        <v>45</v>
      </c>
      <c r="M140" s="59">
        <v>5.6461731493099125E-3</v>
      </c>
      <c r="N140" s="53">
        <v>6384</v>
      </c>
      <c r="O140" s="60">
        <v>0.80100376411543284</v>
      </c>
    </row>
    <row r="141" spans="1:15" x14ac:dyDescent="0.2">
      <c r="A141" t="s">
        <v>267</v>
      </c>
      <c r="B141" s="50">
        <v>551</v>
      </c>
      <c r="C141" s="50">
        <v>567</v>
      </c>
      <c r="D141" s="50">
        <v>1945</v>
      </c>
      <c r="E141" s="50">
        <v>14</v>
      </c>
      <c r="F141" s="15">
        <v>4223</v>
      </c>
      <c r="G141" s="57">
        <v>0.17988899771465883</v>
      </c>
      <c r="H141" s="57">
        <v>0.18511263467189029</v>
      </c>
      <c r="I141" s="57">
        <v>0.63499836761345085</v>
      </c>
      <c r="J141" s="51">
        <v>952</v>
      </c>
      <c r="K141" s="58">
        <v>0.31080639895527262</v>
      </c>
      <c r="L141" s="55">
        <v>24</v>
      </c>
      <c r="M141" s="59">
        <v>7.8354554358472089E-3</v>
      </c>
      <c r="N141" s="53">
        <v>2101</v>
      </c>
      <c r="O141" s="60">
        <v>0.68592882794645771</v>
      </c>
    </row>
    <row r="142" spans="1:15" x14ac:dyDescent="0.2">
      <c r="A142" t="s">
        <v>268</v>
      </c>
      <c r="B142" s="50">
        <v>7620</v>
      </c>
      <c r="C142" s="50">
        <v>6424</v>
      </c>
      <c r="D142" s="50">
        <v>15923</v>
      </c>
      <c r="E142" s="50">
        <v>80</v>
      </c>
      <c r="F142" s="15">
        <v>42964</v>
      </c>
      <c r="G142" s="57">
        <v>0.25427970767844627</v>
      </c>
      <c r="H142" s="57">
        <v>0.21436913938665866</v>
      </c>
      <c r="I142" s="57">
        <v>0.5313511529348951</v>
      </c>
      <c r="J142" s="51">
        <v>11577</v>
      </c>
      <c r="K142" s="58">
        <v>0.3863249574531985</v>
      </c>
      <c r="L142" s="55">
        <v>328</v>
      </c>
      <c r="M142" s="59">
        <v>1.0945373243901626E-2</v>
      </c>
      <c r="N142" s="53">
        <v>18142</v>
      </c>
      <c r="O142" s="60">
        <v>0.60539927253311976</v>
      </c>
    </row>
    <row r="143" spans="1:15" x14ac:dyDescent="0.2">
      <c r="A143" t="s">
        <v>269</v>
      </c>
      <c r="B143" s="50">
        <v>715</v>
      </c>
      <c r="C143" s="50">
        <v>526</v>
      </c>
      <c r="D143" s="50">
        <v>2548</v>
      </c>
      <c r="E143" s="50">
        <v>2</v>
      </c>
      <c r="F143" s="15">
        <v>5582</v>
      </c>
      <c r="G143" s="57">
        <v>0.18870414357350224</v>
      </c>
      <c r="H143" s="57">
        <v>0.13882290841910794</v>
      </c>
      <c r="I143" s="57">
        <v>0.67247294800738977</v>
      </c>
      <c r="J143" s="51">
        <v>1409</v>
      </c>
      <c r="K143" s="58">
        <v>0.37186592768540511</v>
      </c>
      <c r="L143" s="55">
        <v>33</v>
      </c>
      <c r="M143" s="59">
        <v>8.7094220110847196E-3</v>
      </c>
      <c r="N143" s="53">
        <v>2349</v>
      </c>
      <c r="O143" s="60">
        <v>0.61995249406175768</v>
      </c>
    </row>
    <row r="144" spans="1:15" x14ac:dyDescent="0.2">
      <c r="A144" t="s">
        <v>270</v>
      </c>
      <c r="B144" s="50">
        <v>1282</v>
      </c>
      <c r="C144" s="50">
        <v>1053</v>
      </c>
      <c r="D144" s="50">
        <v>2105</v>
      </c>
      <c r="E144" s="50">
        <v>4</v>
      </c>
      <c r="F144" s="15">
        <v>6304</v>
      </c>
      <c r="G144" s="57">
        <v>0.28873873873873873</v>
      </c>
      <c r="H144" s="57">
        <v>0.23716216216216215</v>
      </c>
      <c r="I144" s="57">
        <v>0.47409909909909909</v>
      </c>
      <c r="J144" s="51">
        <v>2044</v>
      </c>
      <c r="K144" s="58">
        <v>0.46036036036036038</v>
      </c>
      <c r="L144" s="55">
        <v>30</v>
      </c>
      <c r="M144" s="59">
        <v>6.7567567567567571E-3</v>
      </c>
      <c r="N144" s="53">
        <v>2370</v>
      </c>
      <c r="O144" s="60">
        <v>0.53378378378378377</v>
      </c>
    </row>
    <row r="145" spans="1:15" x14ac:dyDescent="0.2">
      <c r="A145" t="s">
        <v>271</v>
      </c>
      <c r="B145" s="50">
        <v>3731</v>
      </c>
      <c r="C145" s="50">
        <v>3557</v>
      </c>
      <c r="D145" s="50">
        <v>8259</v>
      </c>
      <c r="E145" s="50">
        <v>11</v>
      </c>
      <c r="F145" s="15">
        <v>19201</v>
      </c>
      <c r="G145" s="57">
        <v>0.23998199009455201</v>
      </c>
      <c r="H145" s="57">
        <v>0.22879012028043996</v>
      </c>
      <c r="I145" s="57">
        <v>0.531227889625008</v>
      </c>
      <c r="J145" s="51">
        <v>2800</v>
      </c>
      <c r="K145" s="58">
        <v>0.18009905447996399</v>
      </c>
      <c r="L145" s="55">
        <v>108</v>
      </c>
      <c r="M145" s="59">
        <v>6.9466778156557539E-3</v>
      </c>
      <c r="N145" s="53">
        <v>12650</v>
      </c>
      <c r="O145" s="60">
        <v>0.813661799704123</v>
      </c>
    </row>
    <row r="146" spans="1:15" x14ac:dyDescent="0.2">
      <c r="A146" t="s">
        <v>272</v>
      </c>
      <c r="B146" s="50">
        <v>2038</v>
      </c>
      <c r="C146" s="50">
        <v>2769</v>
      </c>
      <c r="D146" s="50">
        <v>8092</v>
      </c>
      <c r="E146" s="50">
        <v>6</v>
      </c>
      <c r="F146" s="15">
        <v>18175</v>
      </c>
      <c r="G146" s="57">
        <v>0.15799674393363827</v>
      </c>
      <c r="H146" s="57">
        <v>0.21466780370571362</v>
      </c>
      <c r="I146" s="57">
        <v>0.62733545236064814</v>
      </c>
      <c r="J146" s="51">
        <v>4203</v>
      </c>
      <c r="K146" s="58">
        <v>0.325839212342042</v>
      </c>
      <c r="L146" s="55">
        <v>96</v>
      </c>
      <c r="M146" s="59">
        <v>7.4424373982479265E-3</v>
      </c>
      <c r="N146" s="53">
        <v>8606</v>
      </c>
      <c r="O146" s="60">
        <v>0.66718350259710058</v>
      </c>
    </row>
    <row r="147" spans="1:15" x14ac:dyDescent="0.2">
      <c r="A147" t="s">
        <v>273</v>
      </c>
      <c r="B147" s="50">
        <v>6716</v>
      </c>
      <c r="C147" s="50">
        <v>5799</v>
      </c>
      <c r="D147" s="50">
        <v>16829</v>
      </c>
      <c r="E147" s="50">
        <v>10</v>
      </c>
      <c r="F147" s="15">
        <v>42924</v>
      </c>
      <c r="G147" s="57">
        <v>0.22887131952017448</v>
      </c>
      <c r="H147" s="57">
        <v>0.19762131952017448</v>
      </c>
      <c r="I147" s="57">
        <v>0.57350736095965105</v>
      </c>
      <c r="J147" s="51">
        <v>5770</v>
      </c>
      <c r="K147" s="58">
        <v>0.19663304252998909</v>
      </c>
      <c r="L147" s="55">
        <v>411</v>
      </c>
      <c r="M147" s="59">
        <v>1.4006270447110142E-2</v>
      </c>
      <c r="N147" s="53">
        <v>23173</v>
      </c>
      <c r="O147" s="60">
        <v>0.78970147219193021</v>
      </c>
    </row>
    <row r="148" spans="1:15" x14ac:dyDescent="0.2">
      <c r="A148" t="s">
        <v>274</v>
      </c>
      <c r="B148" s="50">
        <v>11569</v>
      </c>
      <c r="C148" s="50">
        <v>10424</v>
      </c>
      <c r="D148" s="50">
        <v>29100</v>
      </c>
      <c r="E148" s="50">
        <v>0</v>
      </c>
      <c r="F148" s="15">
        <v>70006</v>
      </c>
      <c r="G148" s="57">
        <v>0.22643023506155441</v>
      </c>
      <c r="H148" s="57">
        <v>0.20402012017301782</v>
      </c>
      <c r="I148" s="57">
        <v>0.5695496447654278</v>
      </c>
      <c r="J148" s="51">
        <v>12683</v>
      </c>
      <c r="K148" s="58">
        <v>0.24823361321511753</v>
      </c>
      <c r="L148" s="55">
        <v>571</v>
      </c>
      <c r="M148" s="59">
        <v>1.1175699215156674E-2</v>
      </c>
      <c r="N148" s="53">
        <v>37839</v>
      </c>
      <c r="O148" s="60">
        <v>0.74059068756972579</v>
      </c>
    </row>
    <row r="149" spans="1:15" x14ac:dyDescent="0.2">
      <c r="A149" t="s">
        <v>275</v>
      </c>
      <c r="B149" s="50">
        <v>3186</v>
      </c>
      <c r="C149" s="50">
        <v>2938</v>
      </c>
      <c r="D149" s="50">
        <v>8018</v>
      </c>
      <c r="E149" s="50">
        <v>47</v>
      </c>
      <c r="F149" s="15">
        <v>21994</v>
      </c>
      <c r="G149" s="57">
        <v>0.22528638099278744</v>
      </c>
      <c r="H149" s="57">
        <v>0.20774996464432188</v>
      </c>
      <c r="I149" s="57">
        <v>0.56696365436289065</v>
      </c>
      <c r="J149" s="51">
        <v>4169</v>
      </c>
      <c r="K149" s="58">
        <v>0.2947956441804554</v>
      </c>
      <c r="L149" s="55">
        <v>117</v>
      </c>
      <c r="M149" s="59">
        <v>8.2732286805260926E-3</v>
      </c>
      <c r="N149" s="53">
        <v>9903</v>
      </c>
      <c r="O149" s="60">
        <v>0.70025456088247773</v>
      </c>
    </row>
    <row r="150" spans="1:15" x14ac:dyDescent="0.2">
      <c r="A150" t="s">
        <v>276</v>
      </c>
      <c r="B150" s="50">
        <v>493</v>
      </c>
      <c r="C150" s="50">
        <v>745</v>
      </c>
      <c r="D150" s="50">
        <v>1412</v>
      </c>
      <c r="E150" s="50">
        <v>0</v>
      </c>
      <c r="F150" s="15">
        <v>3785</v>
      </c>
      <c r="G150" s="57">
        <v>0.18603773584905661</v>
      </c>
      <c r="H150" s="57">
        <v>0.28113207547169811</v>
      </c>
      <c r="I150" s="57">
        <v>0.53283018867924525</v>
      </c>
      <c r="J150" s="51">
        <v>1468</v>
      </c>
      <c r="K150" s="58">
        <v>0.55396226415094341</v>
      </c>
      <c r="L150" s="55">
        <v>16</v>
      </c>
      <c r="M150" s="59">
        <v>6.0377358490566035E-3</v>
      </c>
      <c r="N150" s="53">
        <v>1166</v>
      </c>
      <c r="O150" s="60">
        <v>0.44</v>
      </c>
    </row>
    <row r="151" spans="1:15" x14ac:dyDescent="0.2">
      <c r="A151" t="s">
        <v>277</v>
      </c>
      <c r="B151" s="50">
        <v>2577</v>
      </c>
      <c r="C151" s="50">
        <v>2562</v>
      </c>
      <c r="D151" s="50">
        <v>4328</v>
      </c>
      <c r="E151" s="50">
        <v>10</v>
      </c>
      <c r="F151" s="15">
        <v>12990</v>
      </c>
      <c r="G151" s="57">
        <v>0.2722087250448928</v>
      </c>
      <c r="H151" s="57">
        <v>0.27062427379317627</v>
      </c>
      <c r="I151" s="57">
        <v>0.45716700116193093</v>
      </c>
      <c r="J151" s="51">
        <v>4743</v>
      </c>
      <c r="K151" s="58">
        <v>0.50100348579275378</v>
      </c>
      <c r="L151" s="55">
        <v>66</v>
      </c>
      <c r="M151" s="59">
        <v>6.971585507552551E-3</v>
      </c>
      <c r="N151" s="53">
        <v>4668</v>
      </c>
      <c r="O151" s="60">
        <v>0.49308122953417133</v>
      </c>
    </row>
    <row r="152" spans="1:15" x14ac:dyDescent="0.2">
      <c r="A152" t="s">
        <v>278</v>
      </c>
      <c r="B152" s="50">
        <v>2990</v>
      </c>
      <c r="C152" s="50">
        <v>2107</v>
      </c>
      <c r="D152" s="50">
        <v>7673</v>
      </c>
      <c r="E152" s="50">
        <v>9</v>
      </c>
      <c r="F152" s="15">
        <v>18104</v>
      </c>
      <c r="G152" s="57">
        <v>0.2341425215348473</v>
      </c>
      <c r="H152" s="57">
        <v>0.16499608457321849</v>
      </c>
      <c r="I152" s="57">
        <v>0.60086139389193427</v>
      </c>
      <c r="J152" s="51">
        <v>2688</v>
      </c>
      <c r="K152" s="58">
        <v>0.21049334377447143</v>
      </c>
      <c r="L152" s="55">
        <v>104</v>
      </c>
      <c r="M152" s="59">
        <v>8.1440877055599069E-3</v>
      </c>
      <c r="N152" s="53">
        <v>9987</v>
      </c>
      <c r="O152" s="60">
        <v>0.78206734534064215</v>
      </c>
    </row>
    <row r="153" spans="1:15" x14ac:dyDescent="0.2">
      <c r="A153" t="s">
        <v>279</v>
      </c>
      <c r="B153" s="50">
        <v>281</v>
      </c>
      <c r="C153" s="50">
        <v>351</v>
      </c>
      <c r="D153" s="50">
        <v>759</v>
      </c>
      <c r="E153" s="50">
        <v>0</v>
      </c>
      <c r="F153" s="15">
        <v>1705</v>
      </c>
      <c r="G153" s="57">
        <v>0.20201294033069733</v>
      </c>
      <c r="H153" s="57">
        <v>0.25233644859813081</v>
      </c>
      <c r="I153" s="57">
        <v>0.54565061107117185</v>
      </c>
      <c r="J153" s="51">
        <v>640</v>
      </c>
      <c r="K153" s="58">
        <v>0.46010064701653486</v>
      </c>
      <c r="L153" s="55">
        <v>3</v>
      </c>
      <c r="M153" s="59">
        <v>2.1567217828900071E-3</v>
      </c>
      <c r="N153" s="53">
        <v>748</v>
      </c>
      <c r="O153" s="60">
        <v>0.53774263120057508</v>
      </c>
    </row>
    <row r="154" spans="1:15" x14ac:dyDescent="0.2">
      <c r="A154" t="s">
        <v>280</v>
      </c>
      <c r="B154" s="50">
        <v>640</v>
      </c>
      <c r="C154" s="50">
        <v>398</v>
      </c>
      <c r="D154" s="50">
        <v>1247</v>
      </c>
      <c r="E154" s="50">
        <v>0</v>
      </c>
      <c r="F154" s="15">
        <v>3161</v>
      </c>
      <c r="G154" s="57">
        <v>0.28008752735229758</v>
      </c>
      <c r="H154" s="57">
        <v>0.17417943107221007</v>
      </c>
      <c r="I154" s="57">
        <v>0.54573304157549229</v>
      </c>
      <c r="J154" s="51">
        <v>689</v>
      </c>
      <c r="K154" s="58">
        <v>0.30153172866520789</v>
      </c>
      <c r="L154" s="55">
        <v>13</v>
      </c>
      <c r="M154" s="59">
        <v>5.6892778993435445E-3</v>
      </c>
      <c r="N154" s="53">
        <v>1583</v>
      </c>
      <c r="O154" s="60">
        <v>0.69277899343544858</v>
      </c>
    </row>
    <row r="155" spans="1:15" x14ac:dyDescent="0.2">
      <c r="A155" t="s">
        <v>281</v>
      </c>
      <c r="B155" s="50">
        <v>3900</v>
      </c>
      <c r="C155" s="50">
        <v>3088</v>
      </c>
      <c r="D155" s="50">
        <v>7822</v>
      </c>
      <c r="E155" s="50">
        <v>6</v>
      </c>
      <c r="F155" s="15">
        <v>20622</v>
      </c>
      <c r="G155" s="57">
        <v>0.26333558406482105</v>
      </c>
      <c r="H155" s="57">
        <v>0.20850776502363269</v>
      </c>
      <c r="I155" s="57">
        <v>0.52815665091154629</v>
      </c>
      <c r="J155" s="51">
        <v>2411</v>
      </c>
      <c r="K155" s="58">
        <v>0.16279540850776503</v>
      </c>
      <c r="L155" s="55">
        <v>183</v>
      </c>
      <c r="M155" s="59">
        <v>1.2356515867656988E-2</v>
      </c>
      <c r="N155" s="53">
        <v>12222</v>
      </c>
      <c r="O155" s="60">
        <v>0.82525320729237006</v>
      </c>
    </row>
    <row r="156" spans="1:15" x14ac:dyDescent="0.2">
      <c r="A156" t="s">
        <v>282</v>
      </c>
      <c r="B156" s="50">
        <v>11992</v>
      </c>
      <c r="C156" s="50">
        <v>6467</v>
      </c>
      <c r="D156" s="50">
        <v>18243</v>
      </c>
      <c r="E156" s="50">
        <v>64</v>
      </c>
      <c r="F156" s="15">
        <v>54749</v>
      </c>
      <c r="G156" s="57">
        <v>0.32673968721050622</v>
      </c>
      <c r="H156" s="57">
        <v>0.17620293172034221</v>
      </c>
      <c r="I156" s="57">
        <v>0.49705738106915154</v>
      </c>
      <c r="J156" s="51">
        <v>10680</v>
      </c>
      <c r="K156" s="58">
        <v>0.29099231649501389</v>
      </c>
      <c r="L156" s="55">
        <v>442</v>
      </c>
      <c r="M156" s="59">
        <v>1.2042940439213123E-2</v>
      </c>
      <c r="N156" s="53">
        <v>25644</v>
      </c>
      <c r="O156" s="60">
        <v>0.69870851724701655</v>
      </c>
    </row>
    <row r="157" spans="1:15" x14ac:dyDescent="0.2">
      <c r="A157" t="s">
        <v>283</v>
      </c>
      <c r="B157" s="50">
        <v>1036</v>
      </c>
      <c r="C157" s="50">
        <v>555</v>
      </c>
      <c r="D157" s="50">
        <v>1688</v>
      </c>
      <c r="E157" s="50">
        <v>0</v>
      </c>
      <c r="F157" s="15">
        <v>4661</v>
      </c>
      <c r="G157" s="57">
        <v>0.31594998475144859</v>
      </c>
      <c r="H157" s="57">
        <v>0.16925892040256177</v>
      </c>
      <c r="I157" s="57">
        <v>0.51479109484598962</v>
      </c>
      <c r="J157" s="51">
        <v>861</v>
      </c>
      <c r="K157" s="58">
        <v>0.26258005489478498</v>
      </c>
      <c r="L157" s="55">
        <v>16</v>
      </c>
      <c r="M157" s="59">
        <v>4.8795364440378164E-3</v>
      </c>
      <c r="N157" s="53">
        <v>2402</v>
      </c>
      <c r="O157" s="60">
        <v>0.7325404086611772</v>
      </c>
    </row>
    <row r="158" spans="1:15" x14ac:dyDescent="0.2">
      <c r="A158" t="s">
        <v>284</v>
      </c>
      <c r="B158" s="50">
        <v>1224</v>
      </c>
      <c r="C158" s="50">
        <v>1233</v>
      </c>
      <c r="D158" s="50">
        <v>2566</v>
      </c>
      <c r="E158" s="50">
        <v>7</v>
      </c>
      <c r="F158" s="15">
        <v>6819</v>
      </c>
      <c r="G158" s="57">
        <v>0.24367907624925345</v>
      </c>
      <c r="H158" s="57">
        <v>0.2454708341628509</v>
      </c>
      <c r="I158" s="57">
        <v>0.51085008958789568</v>
      </c>
      <c r="J158" s="51">
        <v>2160</v>
      </c>
      <c r="K158" s="58">
        <v>0.43002189926338841</v>
      </c>
      <c r="L158" s="55">
        <v>47</v>
      </c>
      <c r="M158" s="59">
        <v>9.356957993231137E-3</v>
      </c>
      <c r="N158" s="53">
        <v>2823</v>
      </c>
      <c r="O158" s="60">
        <v>0.56201473223173404</v>
      </c>
    </row>
    <row r="159" spans="1:15" x14ac:dyDescent="0.2">
      <c r="A159" t="s">
        <v>285</v>
      </c>
      <c r="B159" s="50">
        <v>1838</v>
      </c>
      <c r="C159" s="50">
        <v>865</v>
      </c>
      <c r="D159" s="50">
        <v>2061</v>
      </c>
      <c r="E159" s="50">
        <v>6</v>
      </c>
      <c r="F159" s="15">
        <v>6470</v>
      </c>
      <c r="G159" s="57">
        <v>0.38581024349286314</v>
      </c>
      <c r="H159" s="57">
        <v>0.18157010915197314</v>
      </c>
      <c r="I159" s="57">
        <v>0.43261964735516373</v>
      </c>
      <c r="J159" s="51">
        <v>2074</v>
      </c>
      <c r="K159" s="58">
        <v>0.43534844668345929</v>
      </c>
      <c r="L159" s="55">
        <v>31</v>
      </c>
      <c r="M159" s="59">
        <v>6.5071368597816957E-3</v>
      </c>
      <c r="N159" s="53">
        <v>2665</v>
      </c>
      <c r="O159" s="60">
        <v>0.5594038623005877</v>
      </c>
    </row>
    <row r="160" spans="1:15" x14ac:dyDescent="0.2">
      <c r="A160" t="s">
        <v>286</v>
      </c>
      <c r="B160" s="50">
        <v>3382</v>
      </c>
      <c r="C160" s="50">
        <v>1596</v>
      </c>
      <c r="D160" s="50">
        <v>4307</v>
      </c>
      <c r="E160" s="50">
        <v>0</v>
      </c>
      <c r="F160" s="15">
        <v>14469</v>
      </c>
      <c r="G160" s="57">
        <v>0.36424340333871835</v>
      </c>
      <c r="H160" s="57">
        <v>0.17189014539579967</v>
      </c>
      <c r="I160" s="57">
        <v>0.46386645126548198</v>
      </c>
      <c r="J160" s="51">
        <v>2395</v>
      </c>
      <c r="K160" s="58">
        <v>0.25794291868605279</v>
      </c>
      <c r="L160" s="55">
        <v>60</v>
      </c>
      <c r="M160" s="59">
        <v>6.462035541195477E-3</v>
      </c>
      <c r="N160" s="53">
        <v>6830</v>
      </c>
      <c r="O160" s="60">
        <v>0.7355950457727517</v>
      </c>
    </row>
    <row r="765" spans="6:9" x14ac:dyDescent="0.2">
      <c r="F765" s="50"/>
      <c r="G765" s="50"/>
      <c r="H765" s="50"/>
      <c r="I765" s="50"/>
    </row>
  </sheetData>
  <mergeCells count="1">
    <mergeCell ref="Q1:Q8"/>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7897BC-9C6B-42AD-A96F-3279E60E8C6D}">
  <sheetPr codeName="Sheet11" filterMode="1">
    <tabColor rgb="FF00FFFF"/>
  </sheetPr>
  <dimension ref="A1:P328"/>
  <sheetViews>
    <sheetView topLeftCell="C1" workbookViewId="0">
      <selection activeCell="F343" sqref="F343"/>
    </sheetView>
  </sheetViews>
  <sheetFormatPr baseColWidth="10" defaultColWidth="8.83203125" defaultRowHeight="15" x14ac:dyDescent="0.2"/>
  <cols>
    <col min="1" max="1" width="19" customWidth="1"/>
    <col min="3" max="3" width="19" customWidth="1"/>
    <col min="7" max="7" width="22.6640625" customWidth="1"/>
    <col min="8" max="8" width="16.33203125" customWidth="1"/>
    <col min="9" max="9" width="14.1640625" customWidth="1"/>
  </cols>
  <sheetData>
    <row r="1" spans="1:16" x14ac:dyDescent="0.2">
      <c r="A1" s="48" t="s">
        <v>403</v>
      </c>
      <c r="C1" s="48" t="s">
        <v>403</v>
      </c>
      <c r="F1" t="s">
        <v>30</v>
      </c>
      <c r="G1" t="s">
        <v>122</v>
      </c>
      <c r="H1" t="s">
        <v>31</v>
      </c>
      <c r="I1" t="s">
        <v>121</v>
      </c>
    </row>
    <row r="2" spans="1:16" ht="19" x14ac:dyDescent="0.2">
      <c r="A2" t="s">
        <v>30</v>
      </c>
      <c r="C2">
        <v>1</v>
      </c>
      <c r="F2">
        <v>1</v>
      </c>
      <c r="G2" t="s">
        <v>462</v>
      </c>
      <c r="H2" s="65">
        <v>70000</v>
      </c>
      <c r="I2" t="s">
        <v>412</v>
      </c>
      <c r="O2" s="67"/>
    </row>
    <row r="3" spans="1:16" ht="19" x14ac:dyDescent="0.2">
      <c r="A3" t="s">
        <v>122</v>
      </c>
      <c r="C3">
        <v>2</v>
      </c>
      <c r="F3">
        <v>2</v>
      </c>
      <c r="G3" t="s">
        <v>463</v>
      </c>
      <c r="H3" s="65">
        <v>68438</v>
      </c>
      <c r="I3" t="s">
        <v>413</v>
      </c>
      <c r="O3" s="68"/>
    </row>
    <row r="4" spans="1:16" ht="19" hidden="1" x14ac:dyDescent="0.2">
      <c r="A4" t="s">
        <v>31</v>
      </c>
      <c r="C4">
        <v>3</v>
      </c>
      <c r="F4">
        <v>3</v>
      </c>
      <c r="G4" t="s">
        <v>464</v>
      </c>
      <c r="H4" s="65">
        <v>68000</v>
      </c>
      <c r="I4" t="s">
        <v>414</v>
      </c>
      <c r="O4" s="68"/>
      <c r="P4" s="65"/>
    </row>
    <row r="5" spans="1:16" ht="19" hidden="1" x14ac:dyDescent="0.2">
      <c r="A5" t="s">
        <v>121</v>
      </c>
      <c r="C5">
        <v>4</v>
      </c>
      <c r="F5">
        <v>4</v>
      </c>
      <c r="G5" t="s">
        <v>465</v>
      </c>
      <c r="H5" s="65">
        <v>65000</v>
      </c>
      <c r="I5" t="s">
        <v>415</v>
      </c>
      <c r="O5" s="67"/>
    </row>
    <row r="6" spans="1:16" ht="19" hidden="1" x14ac:dyDescent="0.2">
      <c r="A6" t="s">
        <v>78</v>
      </c>
      <c r="C6">
        <v>5</v>
      </c>
      <c r="F6">
        <v>5</v>
      </c>
      <c r="G6" t="s">
        <v>466</v>
      </c>
      <c r="H6" s="65">
        <v>64381</v>
      </c>
      <c r="I6" t="s">
        <v>416</v>
      </c>
      <c r="O6" s="68"/>
    </row>
    <row r="7" spans="1:16" ht="19" x14ac:dyDescent="0.2">
      <c r="C7">
        <v>6</v>
      </c>
      <c r="F7">
        <v>6</v>
      </c>
      <c r="G7" t="s">
        <v>467</v>
      </c>
      <c r="H7" s="65">
        <v>64008</v>
      </c>
      <c r="I7" t="s">
        <v>417</v>
      </c>
      <c r="O7" s="68"/>
    </row>
    <row r="8" spans="1:16" ht="19" hidden="1" x14ac:dyDescent="0.2">
      <c r="A8" t="s">
        <v>314</v>
      </c>
      <c r="C8">
        <v>7</v>
      </c>
      <c r="F8">
        <v>7</v>
      </c>
      <c r="G8" t="s">
        <v>468</v>
      </c>
      <c r="H8" s="65">
        <v>61500</v>
      </c>
      <c r="I8" t="s">
        <v>418</v>
      </c>
      <c r="O8" s="67"/>
      <c r="P8" s="65"/>
    </row>
    <row r="9" spans="1:16" ht="19" hidden="1" x14ac:dyDescent="0.2">
      <c r="C9">
        <v>8</v>
      </c>
      <c r="F9">
        <v>8</v>
      </c>
      <c r="G9" t="s">
        <v>469</v>
      </c>
      <c r="H9" s="65">
        <v>60000</v>
      </c>
      <c r="I9" t="s">
        <v>419</v>
      </c>
      <c r="O9" s="68"/>
    </row>
    <row r="10" spans="1:16" ht="19" hidden="1" x14ac:dyDescent="0.2">
      <c r="A10" t="s">
        <v>315</v>
      </c>
      <c r="C10">
        <v>9</v>
      </c>
      <c r="F10">
        <v>9</v>
      </c>
      <c r="G10" t="s">
        <v>470</v>
      </c>
      <c r="H10" s="65">
        <v>58928</v>
      </c>
      <c r="I10" t="s">
        <v>420</v>
      </c>
      <c r="O10" s="68"/>
    </row>
    <row r="11" spans="1:16" ht="19" hidden="1" x14ac:dyDescent="0.2">
      <c r="C11">
        <v>10</v>
      </c>
      <c r="F11">
        <v>10</v>
      </c>
      <c r="G11" t="s">
        <v>471</v>
      </c>
      <c r="H11" s="65">
        <v>58000</v>
      </c>
      <c r="I11" t="s">
        <v>421</v>
      </c>
      <c r="O11" s="67"/>
    </row>
    <row r="12" spans="1:16" ht="19" hidden="1" x14ac:dyDescent="0.2">
      <c r="A12" t="s">
        <v>79</v>
      </c>
      <c r="C12">
        <v>11</v>
      </c>
      <c r="F12">
        <v>11</v>
      </c>
      <c r="G12" t="s">
        <v>472</v>
      </c>
      <c r="H12" s="65">
        <v>54900</v>
      </c>
      <c r="I12" t="s">
        <v>422</v>
      </c>
      <c r="O12" s="68"/>
      <c r="P12" s="65"/>
    </row>
    <row r="13" spans="1:16" ht="19" x14ac:dyDescent="0.2">
      <c r="C13">
        <v>12</v>
      </c>
      <c r="F13">
        <v>12</v>
      </c>
      <c r="G13" t="s">
        <v>473</v>
      </c>
      <c r="H13" s="66">
        <v>54018</v>
      </c>
      <c r="I13" t="s">
        <v>423</v>
      </c>
      <c r="O13" s="68"/>
    </row>
    <row r="14" spans="1:16" ht="19" hidden="1" x14ac:dyDescent="0.2">
      <c r="A14" t="s">
        <v>316</v>
      </c>
      <c r="C14">
        <v>13</v>
      </c>
      <c r="F14">
        <v>13</v>
      </c>
      <c r="G14" t="s">
        <v>474</v>
      </c>
      <c r="H14" s="65">
        <v>52814</v>
      </c>
      <c r="I14" t="s">
        <v>424</v>
      </c>
      <c r="O14" s="67"/>
    </row>
    <row r="15" spans="1:16" ht="19" hidden="1" x14ac:dyDescent="0.2">
      <c r="C15">
        <v>14</v>
      </c>
      <c r="F15">
        <v>14</v>
      </c>
      <c r="G15" t="s">
        <v>475</v>
      </c>
      <c r="H15" s="65">
        <v>52000</v>
      </c>
      <c r="I15" t="s">
        <v>425</v>
      </c>
      <c r="O15" s="68"/>
    </row>
    <row r="16" spans="1:16" ht="19" hidden="1" x14ac:dyDescent="0.2">
      <c r="A16" t="s">
        <v>317</v>
      </c>
      <c r="C16">
        <v>15</v>
      </c>
      <c r="F16">
        <v>15</v>
      </c>
      <c r="G16" t="s">
        <v>476</v>
      </c>
      <c r="H16" s="65">
        <v>52000</v>
      </c>
      <c r="I16" t="s">
        <v>426</v>
      </c>
      <c r="O16" s="68"/>
      <c r="P16" s="65"/>
    </row>
    <row r="17" spans="1:16" ht="19" hidden="1" x14ac:dyDescent="0.2">
      <c r="C17">
        <v>16</v>
      </c>
      <c r="F17">
        <v>18</v>
      </c>
      <c r="G17" t="s">
        <v>479</v>
      </c>
      <c r="H17" s="65">
        <v>50000</v>
      </c>
      <c r="I17" t="s">
        <v>429</v>
      </c>
      <c r="O17" s="67"/>
    </row>
    <row r="18" spans="1:16" ht="19" hidden="1" x14ac:dyDescent="0.2">
      <c r="A18" t="s">
        <v>303</v>
      </c>
      <c r="C18">
        <v>17</v>
      </c>
      <c r="F18">
        <v>17</v>
      </c>
      <c r="G18" t="s">
        <v>478</v>
      </c>
      <c r="H18" s="65">
        <v>50000</v>
      </c>
      <c r="I18" t="s">
        <v>428</v>
      </c>
      <c r="O18" s="68"/>
    </row>
    <row r="19" spans="1:16" ht="19" hidden="1" x14ac:dyDescent="0.2">
      <c r="C19">
        <v>18</v>
      </c>
      <c r="F19">
        <v>19</v>
      </c>
      <c r="G19" t="s">
        <v>480</v>
      </c>
      <c r="H19" s="65">
        <v>50000</v>
      </c>
      <c r="I19" t="s">
        <v>430</v>
      </c>
      <c r="O19" s="68"/>
    </row>
    <row r="20" spans="1:16" ht="19" hidden="1" x14ac:dyDescent="0.2">
      <c r="A20" t="s">
        <v>318</v>
      </c>
      <c r="C20">
        <v>19</v>
      </c>
      <c r="F20">
        <v>16</v>
      </c>
      <c r="G20" t="s">
        <v>477</v>
      </c>
      <c r="H20" s="65">
        <v>50000</v>
      </c>
      <c r="I20" t="s">
        <v>427</v>
      </c>
      <c r="O20" s="67"/>
      <c r="P20" s="65"/>
    </row>
    <row r="21" spans="1:16" ht="19" hidden="1" x14ac:dyDescent="0.2">
      <c r="C21">
        <v>20</v>
      </c>
      <c r="F21">
        <v>20</v>
      </c>
      <c r="G21" t="s">
        <v>481</v>
      </c>
      <c r="H21" s="65">
        <v>47850</v>
      </c>
      <c r="I21" t="s">
        <v>431</v>
      </c>
      <c r="O21" s="68"/>
    </row>
    <row r="22" spans="1:16" ht="19" hidden="1" x14ac:dyDescent="0.2">
      <c r="A22" t="s">
        <v>319</v>
      </c>
      <c r="C22">
        <v>21</v>
      </c>
      <c r="F22">
        <v>21</v>
      </c>
      <c r="G22" t="s">
        <v>482</v>
      </c>
      <c r="H22" s="65">
        <v>45880</v>
      </c>
      <c r="I22" t="s">
        <v>432</v>
      </c>
      <c r="O22" s="68"/>
    </row>
    <row r="23" spans="1:16" ht="19" hidden="1" x14ac:dyDescent="0.2">
      <c r="C23">
        <v>22</v>
      </c>
      <c r="F23">
        <v>22</v>
      </c>
      <c r="G23" t="s">
        <v>483</v>
      </c>
      <c r="H23" s="65">
        <v>45846</v>
      </c>
      <c r="I23" t="s">
        <v>433</v>
      </c>
      <c r="O23" s="67"/>
    </row>
    <row r="24" spans="1:16" ht="19" hidden="1" x14ac:dyDescent="0.2">
      <c r="A24" t="s">
        <v>304</v>
      </c>
      <c r="C24">
        <v>23</v>
      </c>
      <c r="F24">
        <v>23</v>
      </c>
      <c r="G24" t="s">
        <v>484</v>
      </c>
      <c r="H24" s="65">
        <v>45475</v>
      </c>
      <c r="I24" t="s">
        <v>434</v>
      </c>
      <c r="O24" s="68"/>
      <c r="P24" s="65"/>
    </row>
    <row r="25" spans="1:16" ht="19" hidden="1" x14ac:dyDescent="0.2">
      <c r="C25">
        <v>24</v>
      </c>
      <c r="F25">
        <v>29</v>
      </c>
      <c r="G25" t="s">
        <v>490</v>
      </c>
      <c r="H25" s="65">
        <v>45000</v>
      </c>
      <c r="I25" t="s">
        <v>440</v>
      </c>
      <c r="O25" s="68"/>
    </row>
    <row r="26" spans="1:16" ht="19" hidden="1" x14ac:dyDescent="0.2">
      <c r="A26" t="s">
        <v>320</v>
      </c>
      <c r="C26">
        <v>25</v>
      </c>
      <c r="F26">
        <v>24</v>
      </c>
      <c r="G26" t="s">
        <v>485</v>
      </c>
      <c r="H26" s="65">
        <v>45000</v>
      </c>
      <c r="I26" t="s">
        <v>435</v>
      </c>
      <c r="O26" s="67"/>
    </row>
    <row r="27" spans="1:16" ht="19" hidden="1" x14ac:dyDescent="0.2">
      <c r="C27">
        <v>26</v>
      </c>
      <c r="F27">
        <v>31</v>
      </c>
      <c r="G27" t="s">
        <v>492</v>
      </c>
      <c r="H27" s="65">
        <v>45000</v>
      </c>
      <c r="I27" t="s">
        <v>442</v>
      </c>
      <c r="O27" s="68"/>
    </row>
    <row r="28" spans="1:16" ht="19" hidden="1" x14ac:dyDescent="0.2">
      <c r="A28" t="s">
        <v>321</v>
      </c>
      <c r="C28">
        <v>27</v>
      </c>
      <c r="F28">
        <v>26</v>
      </c>
      <c r="G28" t="s">
        <v>487</v>
      </c>
      <c r="H28" s="65">
        <v>45000</v>
      </c>
      <c r="I28" t="s">
        <v>437</v>
      </c>
      <c r="O28" s="68"/>
      <c r="P28" s="65"/>
    </row>
    <row r="29" spans="1:16" ht="19" hidden="1" x14ac:dyDescent="0.2">
      <c r="C29">
        <v>28</v>
      </c>
      <c r="F29">
        <v>27</v>
      </c>
      <c r="G29" t="s">
        <v>488</v>
      </c>
      <c r="H29" s="65">
        <v>45000</v>
      </c>
      <c r="I29" t="s">
        <v>438</v>
      </c>
      <c r="O29" s="67"/>
    </row>
    <row r="30" spans="1:16" ht="19" hidden="1" x14ac:dyDescent="0.2">
      <c r="A30" t="s">
        <v>305</v>
      </c>
      <c r="C30">
        <v>29</v>
      </c>
      <c r="F30">
        <v>28</v>
      </c>
      <c r="G30" t="s">
        <v>489</v>
      </c>
      <c r="H30" s="65">
        <v>45000</v>
      </c>
      <c r="I30" t="s">
        <v>439</v>
      </c>
      <c r="O30" s="68"/>
    </row>
    <row r="31" spans="1:16" ht="19" hidden="1" x14ac:dyDescent="0.2">
      <c r="C31">
        <v>30</v>
      </c>
      <c r="F31">
        <v>30</v>
      </c>
      <c r="G31" t="s">
        <v>491</v>
      </c>
      <c r="H31" s="65">
        <v>45000</v>
      </c>
      <c r="I31" t="s">
        <v>441</v>
      </c>
      <c r="O31" s="68"/>
    </row>
    <row r="32" spans="1:16" ht="19" hidden="1" x14ac:dyDescent="0.2">
      <c r="A32" t="s">
        <v>322</v>
      </c>
      <c r="C32">
        <v>31</v>
      </c>
      <c r="F32">
        <v>25</v>
      </c>
      <c r="G32" t="s">
        <v>486</v>
      </c>
      <c r="H32" s="65">
        <v>45000</v>
      </c>
      <c r="I32" t="s">
        <v>436</v>
      </c>
      <c r="O32" s="67"/>
      <c r="P32" s="65"/>
    </row>
    <row r="33" spans="1:16" ht="19" hidden="1" x14ac:dyDescent="0.2">
      <c r="C33">
        <v>32</v>
      </c>
      <c r="F33">
        <v>32</v>
      </c>
      <c r="G33" t="s">
        <v>493</v>
      </c>
      <c r="H33" s="65">
        <v>45000</v>
      </c>
      <c r="I33" t="s">
        <v>443</v>
      </c>
      <c r="O33" s="68"/>
    </row>
    <row r="34" spans="1:16" ht="19" hidden="1" x14ac:dyDescent="0.2">
      <c r="A34" t="s">
        <v>323</v>
      </c>
      <c r="C34">
        <v>33</v>
      </c>
      <c r="F34">
        <v>33</v>
      </c>
      <c r="G34" t="s">
        <v>494</v>
      </c>
      <c r="H34" s="65">
        <v>44256</v>
      </c>
      <c r="I34" t="s">
        <v>444</v>
      </c>
      <c r="O34" s="68"/>
    </row>
    <row r="35" spans="1:16" ht="19" hidden="1" x14ac:dyDescent="0.2">
      <c r="C35">
        <v>34</v>
      </c>
      <c r="F35">
        <v>34</v>
      </c>
      <c r="G35" t="s">
        <v>495</v>
      </c>
      <c r="H35" s="65">
        <v>44190</v>
      </c>
      <c r="I35" t="s">
        <v>445</v>
      </c>
      <c r="O35" s="67"/>
    </row>
    <row r="36" spans="1:16" ht="19" hidden="1" x14ac:dyDescent="0.2">
      <c r="A36" t="s">
        <v>306</v>
      </c>
      <c r="C36">
        <v>35</v>
      </c>
      <c r="F36">
        <v>35</v>
      </c>
      <c r="G36" t="s">
        <v>496</v>
      </c>
      <c r="H36" s="65">
        <v>44098</v>
      </c>
      <c r="I36" t="s">
        <v>446</v>
      </c>
      <c r="O36" s="68"/>
      <c r="P36" s="65"/>
    </row>
    <row r="37" spans="1:16" ht="19" hidden="1" x14ac:dyDescent="0.2">
      <c r="C37">
        <v>36</v>
      </c>
      <c r="F37">
        <v>36</v>
      </c>
      <c r="G37" t="s">
        <v>497</v>
      </c>
      <c r="H37" s="65">
        <v>44000</v>
      </c>
      <c r="I37" t="s">
        <v>447</v>
      </c>
      <c r="O37" s="68"/>
    </row>
    <row r="38" spans="1:16" ht="19" hidden="1" x14ac:dyDescent="0.2">
      <c r="A38" t="s">
        <v>324</v>
      </c>
      <c r="C38">
        <v>37</v>
      </c>
      <c r="F38">
        <v>38</v>
      </c>
      <c r="G38" t="s">
        <v>499</v>
      </c>
      <c r="H38" s="65">
        <v>44000</v>
      </c>
      <c r="I38" t="s">
        <v>449</v>
      </c>
      <c r="O38" s="67"/>
    </row>
    <row r="39" spans="1:16" ht="19" hidden="1" x14ac:dyDescent="0.2">
      <c r="C39">
        <v>38</v>
      </c>
      <c r="F39">
        <v>37</v>
      </c>
      <c r="G39" t="s">
        <v>498</v>
      </c>
      <c r="H39" s="65">
        <v>44000</v>
      </c>
      <c r="I39" t="s">
        <v>448</v>
      </c>
      <c r="O39" s="68"/>
    </row>
    <row r="40" spans="1:16" ht="19" hidden="1" x14ac:dyDescent="0.2">
      <c r="A40" t="s">
        <v>325</v>
      </c>
      <c r="C40">
        <v>39</v>
      </c>
      <c r="F40">
        <v>39</v>
      </c>
      <c r="G40" t="s">
        <v>500</v>
      </c>
      <c r="H40" s="65">
        <v>43156</v>
      </c>
      <c r="I40" t="s">
        <v>450</v>
      </c>
      <c r="O40" s="68"/>
      <c r="P40" s="65"/>
    </row>
    <row r="41" spans="1:16" ht="19" hidden="1" x14ac:dyDescent="0.2">
      <c r="C41">
        <v>40</v>
      </c>
      <c r="F41">
        <v>40</v>
      </c>
      <c r="G41" t="s">
        <v>501</v>
      </c>
      <c r="H41" s="65">
        <v>43156</v>
      </c>
      <c r="I41" t="s">
        <v>451</v>
      </c>
      <c r="O41" s="67"/>
    </row>
    <row r="42" spans="1:16" ht="19" hidden="1" x14ac:dyDescent="0.2">
      <c r="A42" t="s">
        <v>80</v>
      </c>
      <c r="C42">
        <v>41</v>
      </c>
      <c r="F42">
        <v>42</v>
      </c>
      <c r="G42" t="s">
        <v>503</v>
      </c>
      <c r="H42" s="65">
        <v>43000</v>
      </c>
      <c r="I42" t="s">
        <v>453</v>
      </c>
      <c r="O42" s="68"/>
    </row>
    <row r="43" spans="1:16" ht="19" hidden="1" x14ac:dyDescent="0.2">
      <c r="C43">
        <v>42</v>
      </c>
      <c r="F43">
        <v>41</v>
      </c>
      <c r="G43" t="s">
        <v>502</v>
      </c>
      <c r="H43" s="65">
        <v>43000</v>
      </c>
      <c r="I43" t="s">
        <v>452</v>
      </c>
      <c r="O43" s="68"/>
    </row>
    <row r="44" spans="1:16" ht="19" hidden="1" x14ac:dyDescent="0.2">
      <c r="A44" t="s">
        <v>326</v>
      </c>
      <c r="C44">
        <v>43</v>
      </c>
      <c r="F44">
        <v>43</v>
      </c>
      <c r="G44" t="s">
        <v>504</v>
      </c>
      <c r="H44" s="65">
        <v>42734</v>
      </c>
      <c r="I44" t="s">
        <v>454</v>
      </c>
      <c r="O44" s="67"/>
      <c r="P44" s="65"/>
    </row>
    <row r="45" spans="1:16" ht="19" hidden="1" x14ac:dyDescent="0.2">
      <c r="C45">
        <v>44</v>
      </c>
      <c r="F45">
        <v>44</v>
      </c>
      <c r="G45" t="s">
        <v>505</v>
      </c>
      <c r="H45" s="65">
        <v>42672</v>
      </c>
      <c r="I45" t="s">
        <v>455</v>
      </c>
      <c r="O45" s="68"/>
    </row>
    <row r="46" spans="1:16" ht="19" hidden="1" x14ac:dyDescent="0.2">
      <c r="A46" t="s">
        <v>327</v>
      </c>
      <c r="C46">
        <v>45</v>
      </c>
      <c r="F46">
        <v>45</v>
      </c>
      <c r="G46" t="s">
        <v>506</v>
      </c>
      <c r="H46" s="65">
        <v>42500</v>
      </c>
      <c r="I46" t="s">
        <v>456</v>
      </c>
      <c r="O46" s="68"/>
    </row>
    <row r="47" spans="1:16" ht="19" hidden="1" x14ac:dyDescent="0.2">
      <c r="C47">
        <v>46</v>
      </c>
      <c r="F47">
        <v>48</v>
      </c>
      <c r="G47" t="s">
        <v>509</v>
      </c>
      <c r="H47" s="65">
        <v>42000</v>
      </c>
      <c r="I47" t="s">
        <v>459</v>
      </c>
      <c r="O47" s="67"/>
    </row>
    <row r="48" spans="1:16" ht="19" hidden="1" x14ac:dyDescent="0.2">
      <c r="A48" t="s">
        <v>81</v>
      </c>
      <c r="C48">
        <v>47</v>
      </c>
      <c r="F48">
        <v>46</v>
      </c>
      <c r="G48" t="s">
        <v>507</v>
      </c>
      <c r="H48" s="65">
        <v>42000</v>
      </c>
      <c r="I48" t="s">
        <v>457</v>
      </c>
      <c r="O48" s="68"/>
      <c r="P48" s="66"/>
    </row>
    <row r="49" spans="1:16" ht="19" hidden="1" x14ac:dyDescent="0.2">
      <c r="C49">
        <v>48</v>
      </c>
      <c r="F49">
        <v>47</v>
      </c>
      <c r="G49" t="s">
        <v>508</v>
      </c>
      <c r="H49" s="65">
        <v>42000</v>
      </c>
      <c r="I49" t="s">
        <v>458</v>
      </c>
      <c r="O49" s="68"/>
    </row>
    <row r="50" spans="1:16" ht="19" hidden="1" x14ac:dyDescent="0.2">
      <c r="A50" t="s">
        <v>328</v>
      </c>
      <c r="C50">
        <v>49</v>
      </c>
      <c r="F50">
        <v>49</v>
      </c>
      <c r="G50" t="s">
        <v>510</v>
      </c>
      <c r="H50" s="65">
        <v>41656</v>
      </c>
      <c r="I50" t="s">
        <v>460</v>
      </c>
      <c r="O50" s="67"/>
    </row>
    <row r="51" spans="1:16" ht="19" hidden="1" x14ac:dyDescent="0.2">
      <c r="C51">
        <v>50</v>
      </c>
      <c r="F51">
        <v>50</v>
      </c>
      <c r="G51" t="s">
        <v>511</v>
      </c>
      <c r="H51" s="73">
        <v>41250</v>
      </c>
      <c r="I51" t="s">
        <v>461</v>
      </c>
      <c r="O51" s="68"/>
    </row>
    <row r="52" spans="1:16" ht="19" hidden="1" x14ac:dyDescent="0.2">
      <c r="A52" t="s">
        <v>329</v>
      </c>
      <c r="C52" s="1"/>
      <c r="D52" s="66"/>
      <c r="O52" s="68"/>
      <c r="P52" s="65"/>
    </row>
    <row r="53" spans="1:16" ht="19" hidden="1" x14ac:dyDescent="0.2">
      <c r="O53" s="67"/>
    </row>
    <row r="54" spans="1:16" ht="19" hidden="1" x14ac:dyDescent="0.2">
      <c r="A54" t="s">
        <v>82</v>
      </c>
      <c r="D54" s="65"/>
      <c r="O54" s="68"/>
    </row>
    <row r="55" spans="1:16" ht="19" hidden="1" x14ac:dyDescent="0.2">
      <c r="O55" s="68"/>
    </row>
    <row r="56" spans="1:16" ht="19" hidden="1" x14ac:dyDescent="0.2">
      <c r="A56" t="s">
        <v>330</v>
      </c>
      <c r="D56" s="65"/>
      <c r="O56" s="67"/>
      <c r="P56" s="65"/>
    </row>
    <row r="57" spans="1:16" ht="19" hidden="1" x14ac:dyDescent="0.2">
      <c r="O57" s="68"/>
    </row>
    <row r="58" spans="1:16" ht="19" hidden="1" x14ac:dyDescent="0.2">
      <c r="A58" t="s">
        <v>331</v>
      </c>
      <c r="O58" s="68"/>
    </row>
    <row r="59" spans="1:16" ht="19" hidden="1" x14ac:dyDescent="0.2">
      <c r="D59" s="66"/>
      <c r="O59" s="67"/>
    </row>
    <row r="60" spans="1:16" ht="19" hidden="1" x14ac:dyDescent="0.2">
      <c r="A60" t="s">
        <v>83</v>
      </c>
      <c r="D60" s="65"/>
      <c r="O60" s="68"/>
      <c r="P60" s="65"/>
    </row>
    <row r="61" spans="1:16" ht="19" hidden="1" x14ac:dyDescent="0.2">
      <c r="O61" s="68"/>
    </row>
    <row r="62" spans="1:16" ht="19" hidden="1" x14ac:dyDescent="0.2">
      <c r="A62" t="s">
        <v>332</v>
      </c>
      <c r="O62" s="67"/>
    </row>
    <row r="63" spans="1:16" ht="19" hidden="1" x14ac:dyDescent="0.2">
      <c r="O63" s="68"/>
    </row>
    <row r="64" spans="1:16" ht="19" hidden="1" x14ac:dyDescent="0.2">
      <c r="A64" t="s">
        <v>333</v>
      </c>
      <c r="D64" s="65"/>
      <c r="O64" s="68"/>
      <c r="P64" s="65"/>
    </row>
    <row r="65" spans="1:16" ht="19" hidden="1" x14ac:dyDescent="0.2">
      <c r="O65" s="67"/>
    </row>
    <row r="66" spans="1:16" ht="19" hidden="1" x14ac:dyDescent="0.2">
      <c r="A66" t="s">
        <v>84</v>
      </c>
      <c r="O66" s="68"/>
    </row>
    <row r="67" spans="1:16" ht="19" hidden="1" x14ac:dyDescent="0.2">
      <c r="O67" s="68"/>
    </row>
    <row r="68" spans="1:16" ht="19" hidden="1" x14ac:dyDescent="0.2">
      <c r="A68" t="s">
        <v>334</v>
      </c>
      <c r="D68" s="65"/>
      <c r="O68" s="67"/>
      <c r="P68" s="65"/>
    </row>
    <row r="69" spans="1:16" ht="19" hidden="1" x14ac:dyDescent="0.2">
      <c r="D69" s="65"/>
      <c r="O69" s="68"/>
    </row>
    <row r="70" spans="1:16" ht="19" hidden="1" x14ac:dyDescent="0.2">
      <c r="A70" t="s">
        <v>335</v>
      </c>
      <c r="C70" s="1" t="s">
        <v>400</v>
      </c>
      <c r="O70" s="68"/>
    </row>
    <row r="71" spans="1:16" ht="19" hidden="1" x14ac:dyDescent="0.2">
      <c r="C71" s="1" t="s">
        <v>405</v>
      </c>
      <c r="O71" s="67"/>
    </row>
    <row r="72" spans="1:16" ht="19" hidden="1" x14ac:dyDescent="0.2">
      <c r="A72" t="s">
        <v>307</v>
      </c>
      <c r="D72" s="65"/>
      <c r="O72" s="68"/>
      <c r="P72" s="65"/>
    </row>
    <row r="73" spans="1:16" ht="19" hidden="1" x14ac:dyDescent="0.2">
      <c r="O73" s="68"/>
    </row>
    <row r="74" spans="1:16" ht="19" hidden="1" x14ac:dyDescent="0.2">
      <c r="A74" t="s">
        <v>336</v>
      </c>
      <c r="D74" s="65"/>
      <c r="O74" s="67"/>
    </row>
    <row r="75" spans="1:16" ht="19" hidden="1" x14ac:dyDescent="0.2">
      <c r="O75" s="68"/>
    </row>
    <row r="76" spans="1:16" ht="19" hidden="1" x14ac:dyDescent="0.2">
      <c r="A76" t="s">
        <v>337</v>
      </c>
      <c r="D76" s="65"/>
      <c r="O76" s="68"/>
      <c r="P76" s="65"/>
    </row>
    <row r="77" spans="1:16" ht="19" hidden="1" x14ac:dyDescent="0.2">
      <c r="O77" s="67"/>
    </row>
    <row r="78" spans="1:16" ht="19" hidden="1" x14ac:dyDescent="0.2">
      <c r="A78" t="s">
        <v>85</v>
      </c>
      <c r="O78" s="68"/>
    </row>
    <row r="79" spans="1:16" ht="19" hidden="1" x14ac:dyDescent="0.2">
      <c r="D79" s="65"/>
      <c r="O79" s="68"/>
    </row>
    <row r="80" spans="1:16" ht="19" hidden="1" x14ac:dyDescent="0.2">
      <c r="A80" t="s">
        <v>338</v>
      </c>
      <c r="D80" s="65"/>
      <c r="O80" s="67"/>
      <c r="P80" s="65"/>
    </row>
    <row r="81" spans="1:16" ht="19" hidden="1" x14ac:dyDescent="0.2">
      <c r="O81" s="68"/>
    </row>
    <row r="82" spans="1:16" ht="19" hidden="1" x14ac:dyDescent="0.2">
      <c r="A82" t="s">
        <v>339</v>
      </c>
      <c r="O82" s="68"/>
    </row>
    <row r="83" spans="1:16" ht="19" hidden="1" x14ac:dyDescent="0.2">
      <c r="O83" s="67"/>
    </row>
    <row r="84" spans="1:16" ht="19" hidden="1" x14ac:dyDescent="0.2">
      <c r="A84" t="s">
        <v>86</v>
      </c>
      <c r="D84" s="65"/>
      <c r="O84" s="68"/>
      <c r="P84" s="65"/>
    </row>
    <row r="85" spans="1:16" ht="19" hidden="1" x14ac:dyDescent="0.2">
      <c r="O85" s="68"/>
    </row>
    <row r="86" spans="1:16" ht="19" hidden="1" x14ac:dyDescent="0.2">
      <c r="A86" t="s">
        <v>340</v>
      </c>
      <c r="O86" s="67"/>
    </row>
    <row r="87" spans="1:16" ht="19" hidden="1" x14ac:dyDescent="0.2">
      <c r="O87" s="68"/>
    </row>
    <row r="88" spans="1:16" ht="19" hidden="1" x14ac:dyDescent="0.2">
      <c r="A88" t="s">
        <v>341</v>
      </c>
      <c r="D88" s="65"/>
      <c r="O88" s="68"/>
      <c r="P88" s="65"/>
    </row>
    <row r="89" spans="1:16" ht="19" hidden="1" x14ac:dyDescent="0.2">
      <c r="D89" s="65"/>
      <c r="O89" s="67"/>
    </row>
    <row r="90" spans="1:16" ht="19" hidden="1" x14ac:dyDescent="0.2">
      <c r="A90" t="s">
        <v>87</v>
      </c>
      <c r="O90" s="68"/>
    </row>
    <row r="91" spans="1:16" ht="19" hidden="1" x14ac:dyDescent="0.2">
      <c r="O91" s="68"/>
    </row>
    <row r="92" spans="1:16" ht="19" hidden="1" x14ac:dyDescent="0.2">
      <c r="A92" t="s">
        <v>340</v>
      </c>
      <c r="D92" s="65"/>
      <c r="O92" s="67"/>
      <c r="P92" s="65"/>
    </row>
    <row r="93" spans="1:16" ht="19" hidden="1" x14ac:dyDescent="0.2">
      <c r="O93" s="68"/>
    </row>
    <row r="94" spans="1:16" ht="19" hidden="1" x14ac:dyDescent="0.2">
      <c r="A94" t="s">
        <v>342</v>
      </c>
      <c r="D94" s="65"/>
      <c r="O94" s="68"/>
    </row>
    <row r="95" spans="1:16" ht="19" hidden="1" x14ac:dyDescent="0.2">
      <c r="O95" s="67"/>
    </row>
    <row r="96" spans="1:16" ht="19" hidden="1" x14ac:dyDescent="0.2">
      <c r="A96" t="s">
        <v>88</v>
      </c>
      <c r="D96" s="65"/>
      <c r="O96" s="68"/>
      <c r="P96" s="65"/>
    </row>
    <row r="97" spans="1:16" ht="19" hidden="1" x14ac:dyDescent="0.2">
      <c r="O97" s="68"/>
    </row>
    <row r="98" spans="1:16" ht="19" hidden="1" x14ac:dyDescent="0.2">
      <c r="A98" t="s">
        <v>343</v>
      </c>
      <c r="O98" s="67"/>
    </row>
    <row r="99" spans="1:16" ht="19" hidden="1" x14ac:dyDescent="0.2">
      <c r="D99" s="65"/>
      <c r="O99" s="68"/>
    </row>
    <row r="100" spans="1:16" ht="19" hidden="1" x14ac:dyDescent="0.2">
      <c r="A100" t="s">
        <v>344</v>
      </c>
      <c r="D100" s="65"/>
      <c r="O100" s="68"/>
      <c r="P100" s="65"/>
    </row>
    <row r="101" spans="1:16" ht="19" hidden="1" x14ac:dyDescent="0.2">
      <c r="O101" s="67"/>
    </row>
    <row r="102" spans="1:16" ht="19" hidden="1" x14ac:dyDescent="0.2">
      <c r="A102" t="s">
        <v>89</v>
      </c>
      <c r="O102" s="68"/>
    </row>
    <row r="103" spans="1:16" ht="19" hidden="1" x14ac:dyDescent="0.2">
      <c r="O103" s="68"/>
    </row>
    <row r="104" spans="1:16" ht="19" hidden="1" x14ac:dyDescent="0.2">
      <c r="A104" t="s">
        <v>343</v>
      </c>
      <c r="D104" s="65"/>
      <c r="O104" s="67"/>
      <c r="P104" s="65"/>
    </row>
    <row r="105" spans="1:16" ht="19" hidden="1" x14ac:dyDescent="0.2">
      <c r="O105" s="68"/>
    </row>
    <row r="106" spans="1:16" ht="19" hidden="1" x14ac:dyDescent="0.2">
      <c r="A106" t="s">
        <v>345</v>
      </c>
      <c r="O106" s="68"/>
    </row>
    <row r="107" spans="1:16" ht="19" hidden="1" x14ac:dyDescent="0.2">
      <c r="O107" s="67"/>
    </row>
    <row r="108" spans="1:16" ht="19" hidden="1" x14ac:dyDescent="0.2">
      <c r="A108" t="s">
        <v>90</v>
      </c>
      <c r="D108" s="65"/>
      <c r="O108" s="68"/>
      <c r="P108" s="65"/>
    </row>
    <row r="109" spans="1:16" ht="19" hidden="1" x14ac:dyDescent="0.2">
      <c r="D109" s="65"/>
      <c r="O109" s="68"/>
    </row>
    <row r="110" spans="1:16" ht="19" hidden="1" x14ac:dyDescent="0.2">
      <c r="A110" t="s">
        <v>343</v>
      </c>
      <c r="O110" s="67"/>
    </row>
    <row r="111" spans="1:16" ht="19" hidden="1" x14ac:dyDescent="0.2">
      <c r="O111" s="68"/>
    </row>
    <row r="112" spans="1:16" ht="19" hidden="1" x14ac:dyDescent="0.2">
      <c r="A112" t="s">
        <v>346</v>
      </c>
      <c r="D112" s="65"/>
      <c r="O112" s="68"/>
      <c r="P112" s="65"/>
    </row>
    <row r="113" spans="1:16" ht="19" hidden="1" x14ac:dyDescent="0.2">
      <c r="O113" s="67"/>
    </row>
    <row r="114" spans="1:16" ht="19" hidden="1" x14ac:dyDescent="0.2">
      <c r="A114" t="s">
        <v>91</v>
      </c>
      <c r="D114" s="65"/>
      <c r="O114" s="68"/>
    </row>
    <row r="115" spans="1:16" ht="19" hidden="1" x14ac:dyDescent="0.2">
      <c r="O115" s="68"/>
    </row>
    <row r="116" spans="1:16" ht="19" hidden="1" x14ac:dyDescent="0.2">
      <c r="A116" t="s">
        <v>343</v>
      </c>
      <c r="D116" s="65"/>
      <c r="O116" s="67"/>
      <c r="P116" s="65"/>
    </row>
    <row r="117" spans="1:16" ht="19" hidden="1" x14ac:dyDescent="0.2">
      <c r="O117" s="68"/>
    </row>
    <row r="118" spans="1:16" ht="19" hidden="1" x14ac:dyDescent="0.2">
      <c r="A118" t="s">
        <v>347</v>
      </c>
      <c r="O118" s="68"/>
    </row>
    <row r="119" spans="1:16" ht="19" hidden="1" x14ac:dyDescent="0.2">
      <c r="D119" s="65"/>
      <c r="O119" s="67"/>
    </row>
    <row r="120" spans="1:16" ht="19" hidden="1" x14ac:dyDescent="0.2">
      <c r="A120" t="s">
        <v>92</v>
      </c>
      <c r="D120" s="65"/>
      <c r="O120" s="68"/>
      <c r="P120" s="65"/>
    </row>
    <row r="121" spans="1:16" ht="19" hidden="1" x14ac:dyDescent="0.2">
      <c r="O121" s="68"/>
    </row>
    <row r="122" spans="1:16" ht="19" hidden="1" x14ac:dyDescent="0.2">
      <c r="A122" t="s">
        <v>348</v>
      </c>
      <c r="O122" s="67"/>
    </row>
    <row r="123" spans="1:16" ht="19" hidden="1" x14ac:dyDescent="0.2">
      <c r="O123" s="68"/>
    </row>
    <row r="124" spans="1:16" ht="19" hidden="1" x14ac:dyDescent="0.2">
      <c r="A124" t="s">
        <v>349</v>
      </c>
      <c r="D124" s="65"/>
      <c r="O124" s="68"/>
      <c r="P124" s="65"/>
    </row>
    <row r="125" spans="1:16" ht="19" hidden="1" x14ac:dyDescent="0.2">
      <c r="O125" s="67"/>
    </row>
    <row r="126" spans="1:16" ht="19" hidden="1" x14ac:dyDescent="0.2">
      <c r="A126" t="s">
        <v>93</v>
      </c>
      <c r="O126" s="68"/>
    </row>
    <row r="127" spans="1:16" ht="19" hidden="1" x14ac:dyDescent="0.2">
      <c r="O127" s="68"/>
    </row>
    <row r="128" spans="1:16" ht="19" hidden="1" x14ac:dyDescent="0.2">
      <c r="A128" t="s">
        <v>350</v>
      </c>
      <c r="D128" s="65"/>
      <c r="O128" s="67"/>
      <c r="P128" s="65"/>
    </row>
    <row r="129" spans="1:16" ht="19" hidden="1" x14ac:dyDescent="0.2">
      <c r="D129" s="65"/>
      <c r="O129" s="68"/>
    </row>
    <row r="130" spans="1:16" ht="19" hidden="1" x14ac:dyDescent="0.2">
      <c r="A130" t="s">
        <v>351</v>
      </c>
      <c r="O130" s="68"/>
    </row>
    <row r="131" spans="1:16" ht="19" hidden="1" x14ac:dyDescent="0.2">
      <c r="O131" s="67"/>
    </row>
    <row r="132" spans="1:16" ht="19" hidden="1" x14ac:dyDescent="0.2">
      <c r="A132" t="s">
        <v>94</v>
      </c>
      <c r="D132" s="65"/>
      <c r="O132" s="68"/>
      <c r="P132" s="65"/>
    </row>
    <row r="133" spans="1:16" ht="19" hidden="1" x14ac:dyDescent="0.2">
      <c r="O133" s="68"/>
    </row>
    <row r="134" spans="1:16" ht="19" hidden="1" x14ac:dyDescent="0.2">
      <c r="A134" t="s">
        <v>352</v>
      </c>
      <c r="D134" s="65"/>
      <c r="O134" s="67"/>
    </row>
    <row r="135" spans="1:16" ht="19" hidden="1" x14ac:dyDescent="0.2">
      <c r="O135" s="68"/>
    </row>
    <row r="136" spans="1:16" ht="19" hidden="1" x14ac:dyDescent="0.2">
      <c r="A136" t="s">
        <v>353</v>
      </c>
      <c r="D136" s="65"/>
      <c r="O136" s="68"/>
      <c r="P136" s="65"/>
    </row>
    <row r="137" spans="1:16" ht="19" hidden="1" x14ac:dyDescent="0.2">
      <c r="O137" s="67"/>
    </row>
    <row r="138" spans="1:16" ht="19" hidden="1" x14ac:dyDescent="0.2">
      <c r="A138" t="s">
        <v>95</v>
      </c>
      <c r="O138" s="68"/>
    </row>
    <row r="139" spans="1:16" ht="19" hidden="1" x14ac:dyDescent="0.2">
      <c r="D139" s="65"/>
      <c r="O139" s="68"/>
    </row>
    <row r="140" spans="1:16" ht="19" hidden="1" x14ac:dyDescent="0.2">
      <c r="A140" t="s">
        <v>354</v>
      </c>
      <c r="D140" s="65"/>
      <c r="O140" s="67"/>
      <c r="P140" s="65"/>
    </row>
    <row r="141" spans="1:16" ht="19" hidden="1" x14ac:dyDescent="0.2">
      <c r="O141" s="68"/>
    </row>
    <row r="142" spans="1:16" ht="19" hidden="1" x14ac:dyDescent="0.2">
      <c r="A142" t="s">
        <v>355</v>
      </c>
      <c r="O142" s="68"/>
    </row>
    <row r="143" spans="1:16" ht="19" hidden="1" x14ac:dyDescent="0.2">
      <c r="O143" s="67"/>
    </row>
    <row r="144" spans="1:16" ht="19" hidden="1" x14ac:dyDescent="0.2">
      <c r="A144" t="s">
        <v>96</v>
      </c>
      <c r="D144" s="65"/>
      <c r="O144" s="68"/>
      <c r="P144" s="65"/>
    </row>
    <row r="145" spans="1:16" ht="19" hidden="1" x14ac:dyDescent="0.2">
      <c r="O145" s="68"/>
    </row>
    <row r="146" spans="1:16" ht="19" hidden="1" x14ac:dyDescent="0.2">
      <c r="A146" t="s">
        <v>356</v>
      </c>
      <c r="O146" s="67"/>
    </row>
    <row r="147" spans="1:16" ht="19" hidden="1" x14ac:dyDescent="0.2">
      <c r="O147" s="68"/>
    </row>
    <row r="148" spans="1:16" ht="19" hidden="1" x14ac:dyDescent="0.2">
      <c r="A148" t="s">
        <v>357</v>
      </c>
      <c r="D148" s="65"/>
      <c r="O148" s="68"/>
      <c r="P148" s="65"/>
    </row>
    <row r="149" spans="1:16" ht="19" hidden="1" x14ac:dyDescent="0.2">
      <c r="D149" s="65"/>
      <c r="O149" s="67"/>
    </row>
    <row r="150" spans="1:16" ht="19" hidden="1" x14ac:dyDescent="0.2">
      <c r="A150" t="s">
        <v>97</v>
      </c>
      <c r="O150" s="68"/>
    </row>
    <row r="151" spans="1:16" ht="19" hidden="1" x14ac:dyDescent="0.2">
      <c r="O151" s="68"/>
    </row>
    <row r="152" spans="1:16" hidden="1" x14ac:dyDescent="0.2">
      <c r="A152" t="s">
        <v>356</v>
      </c>
      <c r="D152" s="65"/>
      <c r="P152" s="65"/>
    </row>
    <row r="153" spans="1:16" hidden="1" x14ac:dyDescent="0.2"/>
    <row r="154" spans="1:16" hidden="1" x14ac:dyDescent="0.2">
      <c r="A154" t="s">
        <v>358</v>
      </c>
      <c r="D154" s="65"/>
    </row>
    <row r="155" spans="1:16" hidden="1" x14ac:dyDescent="0.2"/>
    <row r="156" spans="1:16" hidden="1" x14ac:dyDescent="0.2">
      <c r="A156" t="s">
        <v>308</v>
      </c>
      <c r="D156" s="65"/>
      <c r="P156" s="65"/>
    </row>
    <row r="157" spans="1:16" hidden="1" x14ac:dyDescent="0.2"/>
    <row r="158" spans="1:16" hidden="1" x14ac:dyDescent="0.2">
      <c r="A158" t="s">
        <v>356</v>
      </c>
    </row>
    <row r="159" spans="1:16" hidden="1" x14ac:dyDescent="0.2">
      <c r="D159" s="65"/>
    </row>
    <row r="160" spans="1:16" hidden="1" x14ac:dyDescent="0.2">
      <c r="A160" t="s">
        <v>359</v>
      </c>
      <c r="D160" s="65"/>
      <c r="P160" s="65"/>
    </row>
    <row r="161" spans="1:16" hidden="1" x14ac:dyDescent="0.2"/>
    <row r="162" spans="1:16" hidden="1" x14ac:dyDescent="0.2">
      <c r="A162" t="s">
        <v>98</v>
      </c>
    </row>
    <row r="163" spans="1:16" hidden="1" x14ac:dyDescent="0.2"/>
    <row r="164" spans="1:16" hidden="1" x14ac:dyDescent="0.2">
      <c r="A164" t="s">
        <v>356</v>
      </c>
      <c r="D164" s="65"/>
      <c r="P164" s="65"/>
    </row>
    <row r="165" spans="1:16" hidden="1" x14ac:dyDescent="0.2"/>
    <row r="166" spans="1:16" hidden="1" x14ac:dyDescent="0.2">
      <c r="A166" t="s">
        <v>360</v>
      </c>
    </row>
    <row r="167" spans="1:16" hidden="1" x14ac:dyDescent="0.2"/>
    <row r="168" spans="1:16" hidden="1" x14ac:dyDescent="0.2">
      <c r="A168" t="s">
        <v>99</v>
      </c>
      <c r="D168" s="65"/>
      <c r="P168" s="65"/>
    </row>
    <row r="169" spans="1:16" hidden="1" x14ac:dyDescent="0.2">
      <c r="D169" s="65"/>
    </row>
    <row r="170" spans="1:16" hidden="1" x14ac:dyDescent="0.2">
      <c r="A170" t="s">
        <v>356</v>
      </c>
    </row>
    <row r="171" spans="1:16" hidden="1" x14ac:dyDescent="0.2"/>
    <row r="172" spans="1:16" hidden="1" x14ac:dyDescent="0.2">
      <c r="A172" t="s">
        <v>361</v>
      </c>
      <c r="D172" s="65"/>
      <c r="P172" s="65"/>
    </row>
    <row r="173" spans="1:16" hidden="1" x14ac:dyDescent="0.2"/>
    <row r="174" spans="1:16" hidden="1" x14ac:dyDescent="0.2">
      <c r="A174" t="s">
        <v>100</v>
      </c>
      <c r="D174" s="65"/>
    </row>
    <row r="175" spans="1:16" hidden="1" x14ac:dyDescent="0.2"/>
    <row r="176" spans="1:16" hidden="1" x14ac:dyDescent="0.2">
      <c r="A176" t="s">
        <v>356</v>
      </c>
      <c r="D176" s="65"/>
      <c r="P176" s="65"/>
    </row>
    <row r="177" spans="1:16" hidden="1" x14ac:dyDescent="0.2"/>
    <row r="178" spans="1:16" hidden="1" x14ac:dyDescent="0.2">
      <c r="A178" t="s">
        <v>362</v>
      </c>
    </row>
    <row r="179" spans="1:16" hidden="1" x14ac:dyDescent="0.2">
      <c r="D179" s="65"/>
    </row>
    <row r="180" spans="1:16" hidden="1" x14ac:dyDescent="0.2">
      <c r="A180" t="s">
        <v>309</v>
      </c>
      <c r="D180" s="65"/>
      <c r="P180" s="65"/>
    </row>
    <row r="181" spans="1:16" hidden="1" x14ac:dyDescent="0.2"/>
    <row r="182" spans="1:16" hidden="1" x14ac:dyDescent="0.2">
      <c r="A182" t="s">
        <v>356</v>
      </c>
    </row>
    <row r="183" spans="1:16" hidden="1" x14ac:dyDescent="0.2"/>
    <row r="184" spans="1:16" hidden="1" x14ac:dyDescent="0.2">
      <c r="A184" t="s">
        <v>363</v>
      </c>
      <c r="D184" s="65"/>
      <c r="P184" s="65"/>
    </row>
    <row r="185" spans="1:16" hidden="1" x14ac:dyDescent="0.2"/>
    <row r="186" spans="1:16" hidden="1" x14ac:dyDescent="0.2">
      <c r="A186" t="s">
        <v>310</v>
      </c>
    </row>
    <row r="187" spans="1:16" hidden="1" x14ac:dyDescent="0.2"/>
    <row r="188" spans="1:16" hidden="1" x14ac:dyDescent="0.2">
      <c r="A188" t="s">
        <v>356</v>
      </c>
      <c r="D188" s="65"/>
      <c r="P188" s="65"/>
    </row>
    <row r="189" spans="1:16" hidden="1" x14ac:dyDescent="0.2">
      <c r="D189" s="65"/>
    </row>
    <row r="190" spans="1:16" hidden="1" x14ac:dyDescent="0.2">
      <c r="A190" t="s">
        <v>364</v>
      </c>
    </row>
    <row r="191" spans="1:16" hidden="1" x14ac:dyDescent="0.2"/>
    <row r="192" spans="1:16" hidden="1" x14ac:dyDescent="0.2">
      <c r="A192" t="s">
        <v>101</v>
      </c>
      <c r="D192" s="65"/>
      <c r="P192" s="65"/>
    </row>
    <row r="193" spans="1:16" hidden="1" x14ac:dyDescent="0.2"/>
    <row r="194" spans="1:16" hidden="1" x14ac:dyDescent="0.2">
      <c r="A194" t="s">
        <v>356</v>
      </c>
      <c r="D194" s="65"/>
    </row>
    <row r="195" spans="1:16" hidden="1" x14ac:dyDescent="0.2"/>
    <row r="196" spans="1:16" hidden="1" x14ac:dyDescent="0.2">
      <c r="A196" t="s">
        <v>365</v>
      </c>
      <c r="D196" s="65"/>
      <c r="P196" s="65"/>
    </row>
    <row r="197" spans="1:16" hidden="1" x14ac:dyDescent="0.2"/>
    <row r="198" spans="1:16" hidden="1" x14ac:dyDescent="0.2">
      <c r="A198" t="s">
        <v>102</v>
      </c>
    </row>
    <row r="199" spans="1:16" hidden="1" x14ac:dyDescent="0.2">
      <c r="D199" s="65"/>
    </row>
    <row r="200" spans="1:16" hidden="1" x14ac:dyDescent="0.2">
      <c r="A200" t="s">
        <v>366</v>
      </c>
      <c r="D200" s="65"/>
      <c r="P200" s="65"/>
    </row>
    <row r="201" spans="1:16" hidden="1" x14ac:dyDescent="0.2"/>
    <row r="202" spans="1:16" hidden="1" x14ac:dyDescent="0.2">
      <c r="A202" t="s">
        <v>367</v>
      </c>
    </row>
    <row r="203" spans="1:16" hidden="1" x14ac:dyDescent="0.2"/>
    <row r="204" spans="1:16" hidden="1" x14ac:dyDescent="0.2">
      <c r="A204" t="s">
        <v>103</v>
      </c>
      <c r="D204" s="65"/>
    </row>
    <row r="205" spans="1:16" hidden="1" x14ac:dyDescent="0.2"/>
    <row r="206" spans="1:16" hidden="1" x14ac:dyDescent="0.2">
      <c r="A206" t="s">
        <v>368</v>
      </c>
    </row>
    <row r="207" spans="1:16" hidden="1" x14ac:dyDescent="0.2"/>
    <row r="208" spans="1:16" hidden="1" x14ac:dyDescent="0.2">
      <c r="A208" t="s">
        <v>369</v>
      </c>
    </row>
    <row r="209" spans="1:4" hidden="1" x14ac:dyDescent="0.2">
      <c r="D209" s="65"/>
    </row>
    <row r="210" spans="1:4" hidden="1" x14ac:dyDescent="0.2">
      <c r="A210" t="s">
        <v>104</v>
      </c>
    </row>
    <row r="211" spans="1:4" hidden="1" x14ac:dyDescent="0.2"/>
    <row r="212" spans="1:4" hidden="1" x14ac:dyDescent="0.2">
      <c r="A212" t="s">
        <v>370</v>
      </c>
    </row>
    <row r="213" spans="1:4" hidden="1" x14ac:dyDescent="0.2"/>
    <row r="214" spans="1:4" hidden="1" x14ac:dyDescent="0.2">
      <c r="A214" t="s">
        <v>371</v>
      </c>
      <c r="D214" s="65"/>
    </row>
    <row r="215" spans="1:4" hidden="1" x14ac:dyDescent="0.2"/>
    <row r="216" spans="1:4" hidden="1" x14ac:dyDescent="0.2">
      <c r="A216" t="s">
        <v>105</v>
      </c>
    </row>
    <row r="217" spans="1:4" hidden="1" x14ac:dyDescent="0.2"/>
    <row r="218" spans="1:4" hidden="1" x14ac:dyDescent="0.2">
      <c r="A218" t="s">
        <v>372</v>
      </c>
    </row>
    <row r="219" spans="1:4" hidden="1" x14ac:dyDescent="0.2">
      <c r="D219" s="65"/>
    </row>
    <row r="220" spans="1:4" hidden="1" x14ac:dyDescent="0.2">
      <c r="A220" t="s">
        <v>373</v>
      </c>
    </row>
    <row r="221" spans="1:4" hidden="1" x14ac:dyDescent="0.2"/>
    <row r="222" spans="1:4" hidden="1" x14ac:dyDescent="0.2">
      <c r="A222" t="s">
        <v>106</v>
      </c>
    </row>
    <row r="223" spans="1:4" hidden="1" x14ac:dyDescent="0.2"/>
    <row r="224" spans="1:4" hidden="1" x14ac:dyDescent="0.2">
      <c r="A224" t="s">
        <v>374</v>
      </c>
      <c r="D224" s="65"/>
    </row>
    <row r="225" spans="1:4" hidden="1" x14ac:dyDescent="0.2"/>
    <row r="226" spans="1:4" hidden="1" x14ac:dyDescent="0.2">
      <c r="A226" t="s">
        <v>375</v>
      </c>
    </row>
    <row r="227" spans="1:4" hidden="1" x14ac:dyDescent="0.2"/>
    <row r="228" spans="1:4" hidden="1" x14ac:dyDescent="0.2">
      <c r="A228" t="s">
        <v>107</v>
      </c>
    </row>
    <row r="229" spans="1:4" hidden="1" x14ac:dyDescent="0.2">
      <c r="D229" s="65"/>
    </row>
    <row r="230" spans="1:4" hidden="1" x14ac:dyDescent="0.2">
      <c r="A230" t="s">
        <v>374</v>
      </c>
    </row>
    <row r="231" spans="1:4" hidden="1" x14ac:dyDescent="0.2"/>
    <row r="232" spans="1:4" hidden="1" x14ac:dyDescent="0.2">
      <c r="A232" t="s">
        <v>376</v>
      </c>
    </row>
    <row r="233" spans="1:4" hidden="1" x14ac:dyDescent="0.2"/>
    <row r="234" spans="1:4" hidden="1" x14ac:dyDescent="0.2">
      <c r="A234" t="s">
        <v>108</v>
      </c>
      <c r="D234" s="65"/>
    </row>
    <row r="235" spans="1:4" hidden="1" x14ac:dyDescent="0.2"/>
    <row r="236" spans="1:4" hidden="1" x14ac:dyDescent="0.2">
      <c r="A236" t="s">
        <v>377</v>
      </c>
    </row>
    <row r="237" spans="1:4" hidden="1" x14ac:dyDescent="0.2"/>
    <row r="238" spans="1:4" hidden="1" x14ac:dyDescent="0.2">
      <c r="A238" t="s">
        <v>378</v>
      </c>
    </row>
    <row r="239" spans="1:4" hidden="1" x14ac:dyDescent="0.2">
      <c r="D239" s="65"/>
    </row>
    <row r="240" spans="1:4" hidden="1" x14ac:dyDescent="0.2">
      <c r="A240" t="s">
        <v>311</v>
      </c>
    </row>
    <row r="241" spans="1:4" hidden="1" x14ac:dyDescent="0.2"/>
    <row r="242" spans="1:4" hidden="1" x14ac:dyDescent="0.2">
      <c r="A242" t="s">
        <v>379</v>
      </c>
    </row>
    <row r="243" spans="1:4" hidden="1" x14ac:dyDescent="0.2"/>
    <row r="244" spans="1:4" hidden="1" x14ac:dyDescent="0.2">
      <c r="A244" t="s">
        <v>380</v>
      </c>
      <c r="D244" s="65"/>
    </row>
    <row r="245" spans="1:4" hidden="1" x14ac:dyDescent="0.2"/>
    <row r="246" spans="1:4" hidden="1" x14ac:dyDescent="0.2">
      <c r="A246" t="s">
        <v>109</v>
      </c>
    </row>
    <row r="247" spans="1:4" hidden="1" x14ac:dyDescent="0.2"/>
    <row r="248" spans="1:4" hidden="1" x14ac:dyDescent="0.2">
      <c r="A248" t="s">
        <v>381</v>
      </c>
    </row>
    <row r="249" spans="1:4" hidden="1" x14ac:dyDescent="0.2">
      <c r="D249" s="65"/>
    </row>
    <row r="250" spans="1:4" hidden="1" x14ac:dyDescent="0.2">
      <c r="A250" t="s">
        <v>382</v>
      </c>
    </row>
    <row r="251" spans="1:4" hidden="1" x14ac:dyDescent="0.2"/>
    <row r="252" spans="1:4" hidden="1" x14ac:dyDescent="0.2">
      <c r="A252" t="s">
        <v>110</v>
      </c>
    </row>
    <row r="253" spans="1:4" hidden="1" x14ac:dyDescent="0.2"/>
    <row r="254" spans="1:4" hidden="1" x14ac:dyDescent="0.2">
      <c r="A254" t="s">
        <v>381</v>
      </c>
    </row>
    <row r="255" spans="1:4" hidden="1" x14ac:dyDescent="0.2"/>
    <row r="256" spans="1:4" hidden="1" x14ac:dyDescent="0.2">
      <c r="A256" t="s">
        <v>383</v>
      </c>
    </row>
    <row r="257" spans="1:1" hidden="1" x14ac:dyDescent="0.2"/>
    <row r="258" spans="1:1" hidden="1" x14ac:dyDescent="0.2">
      <c r="A258" t="s">
        <v>302</v>
      </c>
    </row>
    <row r="259" spans="1:1" hidden="1" x14ac:dyDescent="0.2"/>
    <row r="260" spans="1:1" hidden="1" x14ac:dyDescent="0.2">
      <c r="A260" t="s">
        <v>384</v>
      </c>
    </row>
    <row r="261" spans="1:1" hidden="1" x14ac:dyDescent="0.2"/>
    <row r="262" spans="1:1" hidden="1" x14ac:dyDescent="0.2">
      <c r="A262" t="s">
        <v>385</v>
      </c>
    </row>
    <row r="263" spans="1:1" hidden="1" x14ac:dyDescent="0.2"/>
    <row r="264" spans="1:1" hidden="1" x14ac:dyDescent="0.2">
      <c r="A264" t="s">
        <v>111</v>
      </c>
    </row>
    <row r="265" spans="1:1" hidden="1" x14ac:dyDescent="0.2"/>
    <row r="266" spans="1:1" hidden="1" x14ac:dyDescent="0.2">
      <c r="A266" t="s">
        <v>386</v>
      </c>
    </row>
    <row r="267" spans="1:1" hidden="1" x14ac:dyDescent="0.2"/>
    <row r="268" spans="1:1" hidden="1" x14ac:dyDescent="0.2">
      <c r="A268" t="s">
        <v>387</v>
      </c>
    </row>
    <row r="269" spans="1:1" hidden="1" x14ac:dyDescent="0.2"/>
    <row r="270" spans="1:1" hidden="1" x14ac:dyDescent="0.2">
      <c r="A270" t="s">
        <v>112</v>
      </c>
    </row>
    <row r="271" spans="1:1" hidden="1" x14ac:dyDescent="0.2"/>
    <row r="272" spans="1:1" hidden="1" x14ac:dyDescent="0.2">
      <c r="A272" t="s">
        <v>388</v>
      </c>
    </row>
    <row r="273" spans="1:1" hidden="1" x14ac:dyDescent="0.2"/>
    <row r="274" spans="1:1" hidden="1" x14ac:dyDescent="0.2">
      <c r="A274" t="s">
        <v>389</v>
      </c>
    </row>
    <row r="275" spans="1:1" hidden="1" x14ac:dyDescent="0.2"/>
    <row r="276" spans="1:1" hidden="1" x14ac:dyDescent="0.2">
      <c r="A276" t="s">
        <v>312</v>
      </c>
    </row>
    <row r="277" spans="1:1" hidden="1" x14ac:dyDescent="0.2"/>
    <row r="278" spans="1:1" hidden="1" x14ac:dyDescent="0.2">
      <c r="A278" t="s">
        <v>390</v>
      </c>
    </row>
    <row r="279" spans="1:1" hidden="1" x14ac:dyDescent="0.2"/>
    <row r="280" spans="1:1" hidden="1" x14ac:dyDescent="0.2">
      <c r="A280" t="s">
        <v>391</v>
      </c>
    </row>
    <row r="281" spans="1:1" hidden="1" x14ac:dyDescent="0.2"/>
    <row r="282" spans="1:1" hidden="1" x14ac:dyDescent="0.2">
      <c r="A282" t="s">
        <v>113</v>
      </c>
    </row>
    <row r="283" spans="1:1" hidden="1" x14ac:dyDescent="0.2"/>
    <row r="284" spans="1:1" hidden="1" x14ac:dyDescent="0.2">
      <c r="A284" t="s">
        <v>392</v>
      </c>
    </row>
    <row r="285" spans="1:1" hidden="1" x14ac:dyDescent="0.2"/>
    <row r="286" spans="1:1" hidden="1" x14ac:dyDescent="0.2">
      <c r="A286" t="s">
        <v>393</v>
      </c>
    </row>
    <row r="287" spans="1:1" hidden="1" x14ac:dyDescent="0.2"/>
    <row r="288" spans="1:1" hidden="1" x14ac:dyDescent="0.2">
      <c r="A288" t="s">
        <v>313</v>
      </c>
    </row>
    <row r="289" spans="1:1" hidden="1" x14ac:dyDescent="0.2"/>
    <row r="290" spans="1:1" hidden="1" x14ac:dyDescent="0.2">
      <c r="A290" t="s">
        <v>390</v>
      </c>
    </row>
    <row r="291" spans="1:1" hidden="1" x14ac:dyDescent="0.2"/>
    <row r="292" spans="1:1" hidden="1" x14ac:dyDescent="0.2">
      <c r="A292" t="s">
        <v>394</v>
      </c>
    </row>
    <row r="293" spans="1:1" hidden="1" x14ac:dyDescent="0.2"/>
    <row r="294" spans="1:1" hidden="1" x14ac:dyDescent="0.2">
      <c r="A294" t="s">
        <v>114</v>
      </c>
    </row>
    <row r="295" spans="1:1" hidden="1" x14ac:dyDescent="0.2"/>
    <row r="296" spans="1:1" hidden="1" x14ac:dyDescent="0.2">
      <c r="A296" t="s">
        <v>395</v>
      </c>
    </row>
    <row r="297" spans="1:1" hidden="1" x14ac:dyDescent="0.2"/>
    <row r="298" spans="1:1" hidden="1" x14ac:dyDescent="0.2">
      <c r="A298" t="s">
        <v>396</v>
      </c>
    </row>
    <row r="299" spans="1:1" hidden="1" x14ac:dyDescent="0.2"/>
    <row r="300" spans="1:1" hidden="1" x14ac:dyDescent="0.2">
      <c r="A300" t="s">
        <v>115</v>
      </c>
    </row>
    <row r="301" spans="1:1" hidden="1" x14ac:dyDescent="0.2"/>
    <row r="302" spans="1:1" hidden="1" x14ac:dyDescent="0.2">
      <c r="A302" t="s">
        <v>397</v>
      </c>
    </row>
    <row r="303" spans="1:1" hidden="1" x14ac:dyDescent="0.2"/>
    <row r="304" spans="1:1" hidden="1" x14ac:dyDescent="0.2">
      <c r="A304" t="s">
        <v>398</v>
      </c>
    </row>
    <row r="305" spans="1:1" hidden="1" x14ac:dyDescent="0.2"/>
    <row r="306" spans="1:1" hidden="1" x14ac:dyDescent="0.2">
      <c r="A306" s="1"/>
    </row>
    <row r="307" spans="1:1" hidden="1" x14ac:dyDescent="0.2"/>
    <row r="308" spans="1:1" hidden="1" x14ac:dyDescent="0.2"/>
    <row r="309" spans="1:1" hidden="1" x14ac:dyDescent="0.2"/>
    <row r="310" spans="1:1" hidden="1" x14ac:dyDescent="0.2"/>
    <row r="311" spans="1:1" hidden="1" x14ac:dyDescent="0.2"/>
    <row r="312" spans="1:1" hidden="1" x14ac:dyDescent="0.2"/>
    <row r="313" spans="1:1" hidden="1" x14ac:dyDescent="0.2"/>
    <row r="314" spans="1:1" hidden="1" x14ac:dyDescent="0.2"/>
    <row r="315" spans="1:1" hidden="1" x14ac:dyDescent="0.2"/>
    <row r="316" spans="1:1" hidden="1" x14ac:dyDescent="0.2"/>
    <row r="317" spans="1:1" hidden="1" x14ac:dyDescent="0.2"/>
    <row r="318" spans="1:1" hidden="1" x14ac:dyDescent="0.2"/>
    <row r="319" spans="1:1" hidden="1" x14ac:dyDescent="0.2"/>
    <row r="320" spans="1:1" hidden="1" x14ac:dyDescent="0.2"/>
    <row r="321" spans="1:2" hidden="1" x14ac:dyDescent="0.2"/>
    <row r="322" spans="1:2" hidden="1" x14ac:dyDescent="0.2"/>
    <row r="323" spans="1:2" hidden="1" x14ac:dyDescent="0.2"/>
    <row r="324" spans="1:2" hidden="1" x14ac:dyDescent="0.2">
      <c r="A324" s="1" t="s">
        <v>400</v>
      </c>
    </row>
    <row r="325" spans="1:2" hidden="1" x14ac:dyDescent="0.2">
      <c r="A325" s="1" t="s">
        <v>405</v>
      </c>
      <c r="B325" t="s">
        <v>399</v>
      </c>
    </row>
    <row r="326" spans="1:2" hidden="1" x14ac:dyDescent="0.2"/>
    <row r="327" spans="1:2" hidden="1" x14ac:dyDescent="0.2"/>
    <row r="328" spans="1:2" hidden="1" x14ac:dyDescent="0.2"/>
  </sheetData>
  <autoFilter ref="F1:I328" xr:uid="{9A7897BC-9C6B-42AD-A96F-3279E60E8C6D}">
    <filterColumn colId="3">
      <customFilters>
        <customFilter val="*systems*"/>
        <customFilter val="*software*"/>
      </customFilters>
    </filterColumn>
  </autoFilter>
  <sortState xmlns:xlrd2="http://schemas.microsoft.com/office/spreadsheetml/2017/richdata2" ref="F2:I327">
    <sortCondition descending="1" ref="H2:H327"/>
  </sortState>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9051C-16F7-452B-A9A1-9C876A4A2222}">
  <sheetPr codeName="Sheet7"/>
  <dimension ref="A1:H16"/>
  <sheetViews>
    <sheetView workbookViewId="0">
      <selection activeCell="A2" sqref="A2"/>
    </sheetView>
  </sheetViews>
  <sheetFormatPr baseColWidth="10" defaultColWidth="8.83203125" defaultRowHeight="15" x14ac:dyDescent="0.2"/>
  <cols>
    <col min="1" max="1" width="98.5" customWidth="1"/>
  </cols>
  <sheetData>
    <row r="1" spans="1:8" x14ac:dyDescent="0.2">
      <c r="A1" t="s">
        <v>117</v>
      </c>
    </row>
    <row r="2" spans="1:8" x14ac:dyDescent="0.2">
      <c r="A2" s="47" t="s">
        <v>29</v>
      </c>
    </row>
    <row r="3" spans="1:8" x14ac:dyDescent="0.2">
      <c r="A3" s="43" t="s">
        <v>404</v>
      </c>
    </row>
    <row r="4" spans="1:8" x14ac:dyDescent="0.2">
      <c r="A4" s="43" t="s">
        <v>119</v>
      </c>
    </row>
    <row r="5" spans="1:8" x14ac:dyDescent="0.2">
      <c r="A5" t="s">
        <v>120</v>
      </c>
    </row>
    <row r="6" spans="1:8" ht="112" x14ac:dyDescent="0.2">
      <c r="A6" s="44" t="s">
        <v>118</v>
      </c>
    </row>
    <row r="11" spans="1:8" x14ac:dyDescent="0.2">
      <c r="A11" s="30"/>
    </row>
    <row r="12" spans="1:8" x14ac:dyDescent="0.2">
      <c r="A12" s="31"/>
    </row>
    <row r="13" spans="1:8" x14ac:dyDescent="0.2">
      <c r="A13" s="31"/>
    </row>
    <row r="14" spans="1:8" x14ac:dyDescent="0.2">
      <c r="A14" s="31"/>
    </row>
    <row r="16" spans="1:8" ht="137.25" customHeight="1" x14ac:dyDescent="0.2">
      <c r="A16" s="32"/>
      <c r="B16" s="32"/>
      <c r="C16" s="32"/>
      <c r="D16" s="32"/>
      <c r="E16" s="32"/>
      <c r="F16" s="32"/>
      <c r="G16" s="32"/>
      <c r="H16" s="32"/>
    </row>
  </sheetData>
  <hyperlinks>
    <hyperlink ref="A2" r:id="rId1" xr:uid="{DA1AFF46-60BE-4FED-A46B-09894E5BC26E}"/>
  </hyperlinks>
  <pageMargins left="0.7" right="0.7" top="0.75" bottom="0.75" header="0.3" footer="0.3"/>
  <pageSetup orientation="portrait" verticalDpi="0"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3A307A-3524-44EC-891C-55C889DA9C82}">
  <sheetPr codeName="Sheet4">
    <tabColor rgb="FFFFFF00"/>
  </sheetPr>
  <dimension ref="A1:M165"/>
  <sheetViews>
    <sheetView workbookViewId="0">
      <selection activeCell="B8" sqref="B8"/>
    </sheetView>
  </sheetViews>
  <sheetFormatPr baseColWidth="10" defaultColWidth="8.83203125" defaultRowHeight="15" x14ac:dyDescent="0.2"/>
  <cols>
    <col min="1" max="1" width="12.1640625" bestFit="1" customWidth="1"/>
    <col min="2" max="2" width="20.6640625" style="2" bestFit="1" customWidth="1"/>
    <col min="3" max="3" width="12.1640625" bestFit="1" customWidth="1"/>
    <col min="4" max="4" width="14.6640625" bestFit="1" customWidth="1"/>
    <col min="5" max="5" width="13.5" bestFit="1" customWidth="1"/>
    <col min="6" max="6" width="8.1640625" bestFit="1" customWidth="1"/>
    <col min="7" max="7" width="6.1640625" bestFit="1" customWidth="1"/>
    <col min="8" max="9" width="7.33203125" bestFit="1" customWidth="1"/>
    <col min="10" max="10" width="7.83203125" bestFit="1" customWidth="1"/>
    <col min="11" max="11" width="7.5" bestFit="1" customWidth="1"/>
    <col min="12" max="12" width="7" bestFit="1" customWidth="1"/>
    <col min="13" max="14" width="8.5" bestFit="1" customWidth="1"/>
    <col min="15" max="15" width="7" bestFit="1" customWidth="1"/>
    <col min="16" max="16" width="6" bestFit="1" customWidth="1"/>
    <col min="17" max="17" width="7.5" bestFit="1" customWidth="1"/>
    <col min="18" max="18" width="6.1640625" bestFit="1" customWidth="1"/>
    <col min="19" max="19" width="6" bestFit="1" customWidth="1"/>
    <col min="20" max="21" width="8.33203125" bestFit="1" customWidth="1"/>
    <col min="22" max="22" width="7.83203125" bestFit="1" customWidth="1"/>
    <col min="23" max="23" width="6.83203125" bestFit="1" customWidth="1"/>
    <col min="24" max="24" width="8" bestFit="1" customWidth="1"/>
    <col min="25" max="25" width="8.5" bestFit="1" customWidth="1"/>
    <col min="26" max="26" width="8.83203125" bestFit="1" customWidth="1"/>
    <col min="27" max="27" width="14.5" bestFit="1" customWidth="1"/>
    <col min="28" max="28" width="10" bestFit="1" customWidth="1"/>
    <col min="29" max="29" width="9.5" bestFit="1" customWidth="1"/>
    <col min="30" max="30" width="6.5" bestFit="1" customWidth="1"/>
    <col min="31" max="31" width="5" bestFit="1" customWidth="1"/>
    <col min="32" max="32" width="7.6640625" bestFit="1" customWidth="1"/>
    <col min="33" max="33" width="6.5" bestFit="1" customWidth="1"/>
    <col min="34" max="35" width="7" bestFit="1" customWidth="1"/>
    <col min="36" max="36" width="8.1640625" bestFit="1" customWidth="1"/>
    <col min="37" max="37" width="9.5" bestFit="1" customWidth="1"/>
    <col min="38" max="38" width="6" bestFit="1" customWidth="1"/>
    <col min="39" max="39" width="7.6640625" bestFit="1" customWidth="1"/>
    <col min="40" max="40" width="9.1640625" bestFit="1" customWidth="1"/>
    <col min="41" max="42" width="6" bestFit="1" customWidth="1"/>
    <col min="43" max="43" width="8" bestFit="1" customWidth="1"/>
    <col min="44" max="44" width="7.83203125" bestFit="1" customWidth="1"/>
    <col min="45" max="45" width="7.33203125" bestFit="1" customWidth="1"/>
    <col min="46" max="46" width="6.6640625" bestFit="1" customWidth="1"/>
    <col min="47" max="47" width="6.1640625" bestFit="1" customWidth="1"/>
    <col min="48" max="48" width="10.33203125" bestFit="1" customWidth="1"/>
    <col min="49" max="49" width="8" bestFit="1" customWidth="1"/>
    <col min="50" max="50" width="5.33203125" bestFit="1" customWidth="1"/>
    <col min="51" max="51" width="6.5" bestFit="1" customWidth="1"/>
    <col min="52" max="52" width="10" bestFit="1" customWidth="1"/>
    <col min="53" max="53" width="6.33203125" bestFit="1" customWidth="1"/>
    <col min="54" max="54" width="8.6640625" bestFit="1" customWidth="1"/>
    <col min="55" max="55" width="6" bestFit="1" customWidth="1"/>
    <col min="56" max="56" width="7" bestFit="1" customWidth="1"/>
    <col min="57" max="57" width="7.6640625" bestFit="1" customWidth="1"/>
    <col min="58" max="58" width="6" bestFit="1" customWidth="1"/>
    <col min="59" max="59" width="7.5" bestFit="1" customWidth="1"/>
    <col min="60" max="60" width="8.1640625" bestFit="1" customWidth="1"/>
    <col min="61" max="61" width="7" bestFit="1" customWidth="1"/>
    <col min="62" max="62" width="7.1640625" bestFit="1" customWidth="1"/>
    <col min="63" max="63" width="8.6640625" bestFit="1" customWidth="1"/>
    <col min="64" max="64" width="6.33203125" bestFit="1" customWidth="1"/>
    <col min="65" max="65" width="7.6640625" bestFit="1" customWidth="1"/>
    <col min="66" max="66" width="6.33203125" bestFit="1" customWidth="1"/>
    <col min="67" max="67" width="7.6640625" bestFit="1" customWidth="1"/>
    <col min="68" max="68" width="9.5" bestFit="1" customWidth="1"/>
    <col min="69" max="69" width="11" bestFit="1" customWidth="1"/>
    <col min="70" max="70" width="4.5" bestFit="1" customWidth="1"/>
    <col min="71" max="71" width="8.33203125" bestFit="1" customWidth="1"/>
    <col min="72" max="72" width="8.6640625" bestFit="1" customWidth="1"/>
    <col min="73" max="73" width="6.1640625" bestFit="1" customWidth="1"/>
    <col min="74" max="74" width="6" bestFit="1" customWidth="1"/>
    <col min="75" max="75" width="6.33203125" bestFit="1" customWidth="1"/>
    <col min="76" max="76" width="7" bestFit="1" customWidth="1"/>
    <col min="77" max="77" width="8.5" bestFit="1" customWidth="1"/>
    <col min="78" max="78" width="5.5" bestFit="1" customWidth="1"/>
    <col min="79" max="79" width="7.6640625" bestFit="1" customWidth="1"/>
    <col min="80" max="80" width="6.5" bestFit="1" customWidth="1"/>
    <col min="81" max="81" width="9.5" bestFit="1" customWidth="1"/>
    <col min="82" max="82" width="9.33203125" bestFit="1" customWidth="1"/>
    <col min="83" max="83" width="7.5" bestFit="1" customWidth="1"/>
    <col min="84" max="84" width="8.33203125" bestFit="1" customWidth="1"/>
    <col min="85" max="85" width="6" bestFit="1" customWidth="1"/>
    <col min="86" max="86" width="6.33203125" bestFit="1" customWidth="1"/>
    <col min="87" max="87" width="6.5" bestFit="1" customWidth="1"/>
    <col min="88" max="88" width="7.83203125" bestFit="1" customWidth="1"/>
    <col min="89" max="89" width="6" bestFit="1" customWidth="1"/>
    <col min="90" max="90" width="7.1640625" bestFit="1" customWidth="1"/>
    <col min="91" max="91" width="7.33203125" bestFit="1" customWidth="1"/>
    <col min="92" max="92" width="6" bestFit="1" customWidth="1"/>
    <col min="93" max="93" width="8.83203125" bestFit="1" customWidth="1"/>
    <col min="94" max="94" width="8.5" bestFit="1" customWidth="1"/>
    <col min="95" max="95" width="7" bestFit="1" customWidth="1"/>
    <col min="96" max="96" width="8.6640625" bestFit="1" customWidth="1"/>
    <col min="97" max="97" width="7.5" bestFit="1" customWidth="1"/>
    <col min="98" max="99" width="9.33203125" bestFit="1" customWidth="1"/>
    <col min="100" max="100" width="11.6640625" bestFit="1" customWidth="1"/>
    <col min="101" max="101" width="6.5" bestFit="1" customWidth="1"/>
    <col min="102" max="102" width="8.5" bestFit="1" customWidth="1"/>
    <col min="103" max="103" width="8.1640625" bestFit="1" customWidth="1"/>
    <col min="104" max="104" width="12.5" bestFit="1" customWidth="1"/>
    <col min="105" max="105" width="7.83203125" bestFit="1" customWidth="1"/>
    <col min="106" max="106" width="7.5" bestFit="1" customWidth="1"/>
    <col min="107" max="107" width="10.1640625" bestFit="1" customWidth="1"/>
    <col min="108" max="108" width="8.1640625" bestFit="1" customWidth="1"/>
    <col min="109" max="109" width="7.83203125" bestFit="1" customWidth="1"/>
    <col min="110" max="110" width="11.1640625" bestFit="1" customWidth="1"/>
    <col min="111" max="111" width="8.6640625" bestFit="1" customWidth="1"/>
    <col min="112" max="112" width="6.33203125" bestFit="1" customWidth="1"/>
    <col min="113" max="113" width="7.6640625" bestFit="1" customWidth="1"/>
    <col min="114" max="114" width="6.5" bestFit="1" customWidth="1"/>
    <col min="115" max="115" width="4.83203125" bestFit="1" customWidth="1"/>
    <col min="116" max="116" width="6" bestFit="1" customWidth="1"/>
    <col min="117" max="117" width="7.33203125" bestFit="1" customWidth="1"/>
    <col min="118" max="118" width="7.83203125" bestFit="1" customWidth="1"/>
    <col min="119" max="119" width="8.6640625" bestFit="1" customWidth="1"/>
    <col min="120" max="120" width="6.5" bestFit="1" customWidth="1"/>
    <col min="121" max="121" width="9.5" bestFit="1" customWidth="1"/>
    <col min="122" max="122" width="9.83203125" bestFit="1" customWidth="1"/>
    <col min="123" max="123" width="9" bestFit="1" customWidth="1"/>
    <col min="124" max="124" width="6.6640625" bestFit="1" customWidth="1"/>
    <col min="125" max="125" width="8" bestFit="1" customWidth="1"/>
    <col min="126" max="126" width="9.5" bestFit="1" customWidth="1"/>
    <col min="127" max="127" width="8.5" bestFit="1" customWidth="1"/>
    <col min="128" max="128" width="9.33203125" bestFit="1" customWidth="1"/>
    <col min="129" max="129" width="7.83203125" bestFit="1" customWidth="1"/>
    <col min="130" max="130" width="7.5" bestFit="1" customWidth="1"/>
    <col min="131" max="131" width="6.5" bestFit="1" customWidth="1"/>
    <col min="132" max="132" width="9.5" bestFit="1" customWidth="1"/>
    <col min="133" max="133" width="7.6640625" bestFit="1" customWidth="1"/>
    <col min="134" max="134" width="6.5" bestFit="1" customWidth="1"/>
    <col min="135" max="135" width="6.6640625" bestFit="1" customWidth="1"/>
    <col min="136" max="136" width="6.83203125" bestFit="1" customWidth="1"/>
    <col min="137" max="137" width="7.83203125" bestFit="1" customWidth="1"/>
    <col min="138" max="138" width="6" bestFit="1" customWidth="1"/>
    <col min="139" max="139" width="8" bestFit="1" customWidth="1"/>
    <col min="140" max="140" width="6.6640625" bestFit="1" customWidth="1"/>
    <col min="141" max="141" width="8.5" bestFit="1" customWidth="1"/>
    <col min="142" max="142" width="6.1640625" bestFit="1" customWidth="1"/>
    <col min="143" max="143" width="6.83203125" bestFit="1" customWidth="1"/>
    <col min="144" max="144" width="7" bestFit="1" customWidth="1"/>
    <col min="145" max="145" width="6.5" bestFit="1" customWidth="1"/>
    <col min="146" max="146" width="6.6640625" bestFit="1" customWidth="1"/>
    <col min="147" max="148" width="7.5" bestFit="1" customWidth="1"/>
    <col min="149" max="149" width="6" bestFit="1" customWidth="1"/>
    <col min="150" max="150" width="7.6640625" bestFit="1" customWidth="1"/>
    <col min="151" max="151" width="11.6640625" bestFit="1" customWidth="1"/>
    <col min="152" max="152" width="7.33203125" bestFit="1" customWidth="1"/>
    <col min="153" max="153" width="8.6640625" bestFit="1" customWidth="1"/>
    <col min="154" max="154" width="8.83203125" bestFit="1" customWidth="1"/>
    <col min="155" max="155" width="6.5" bestFit="1" customWidth="1"/>
    <col min="156" max="156" width="9.5" bestFit="1" customWidth="1"/>
    <col min="157" max="158" width="7.1640625" bestFit="1" customWidth="1"/>
    <col min="159" max="159" width="10" bestFit="1" customWidth="1"/>
    <col min="160" max="160" width="6.6640625" bestFit="1" customWidth="1"/>
    <col min="161" max="161" width="11.33203125" bestFit="1" customWidth="1"/>
    <col min="162" max="162" width="14.5" bestFit="1" customWidth="1"/>
    <col min="163" max="163" width="15" bestFit="1" customWidth="1"/>
    <col min="164" max="164" width="14.5" bestFit="1" customWidth="1"/>
    <col min="165" max="165" width="15" bestFit="1" customWidth="1"/>
    <col min="166" max="166" width="14.5" bestFit="1" customWidth="1"/>
    <col min="167" max="167" width="15" bestFit="1" customWidth="1"/>
    <col min="168" max="168" width="14.5" bestFit="1" customWidth="1"/>
    <col min="169" max="169" width="15" bestFit="1" customWidth="1"/>
    <col min="170" max="170" width="14.5" bestFit="1" customWidth="1"/>
    <col min="171" max="171" width="15" bestFit="1" customWidth="1"/>
    <col min="172" max="172" width="14.5" bestFit="1" customWidth="1"/>
    <col min="173" max="173" width="15" bestFit="1" customWidth="1"/>
    <col min="174" max="174" width="14.5" bestFit="1" customWidth="1"/>
    <col min="175" max="175" width="15" bestFit="1" customWidth="1"/>
    <col min="176" max="176" width="14.5" bestFit="1" customWidth="1"/>
    <col min="177" max="177" width="15" bestFit="1" customWidth="1"/>
    <col min="178" max="178" width="14.5" bestFit="1" customWidth="1"/>
    <col min="179" max="179" width="15" bestFit="1" customWidth="1"/>
    <col min="180" max="180" width="14.5" bestFit="1" customWidth="1"/>
    <col min="181" max="181" width="15" bestFit="1" customWidth="1"/>
    <col min="182" max="182" width="14.5" bestFit="1" customWidth="1"/>
    <col min="183" max="183" width="15" bestFit="1" customWidth="1"/>
    <col min="184" max="184" width="14.5" bestFit="1" customWidth="1"/>
    <col min="185" max="185" width="15" bestFit="1" customWidth="1"/>
    <col min="186" max="186" width="14.5" bestFit="1" customWidth="1"/>
    <col min="187" max="187" width="15" bestFit="1" customWidth="1"/>
    <col min="188" max="188" width="14.5" bestFit="1" customWidth="1"/>
    <col min="189" max="189" width="15" bestFit="1" customWidth="1"/>
    <col min="190" max="190" width="14.5" bestFit="1" customWidth="1"/>
    <col min="191" max="191" width="15" bestFit="1" customWidth="1"/>
    <col min="192" max="192" width="14.5" bestFit="1" customWidth="1"/>
    <col min="193" max="193" width="15" bestFit="1" customWidth="1"/>
    <col min="194" max="194" width="14.5" bestFit="1" customWidth="1"/>
    <col min="195" max="195" width="15" bestFit="1" customWidth="1"/>
    <col min="196" max="196" width="14.5" bestFit="1" customWidth="1"/>
    <col min="197" max="197" width="15" bestFit="1" customWidth="1"/>
    <col min="198" max="198" width="14.5" bestFit="1" customWidth="1"/>
    <col min="199" max="199" width="15" bestFit="1" customWidth="1"/>
    <col min="200" max="200" width="14.5" bestFit="1" customWidth="1"/>
    <col min="201" max="201" width="15" bestFit="1" customWidth="1"/>
    <col min="202" max="202" width="14.5" bestFit="1" customWidth="1"/>
    <col min="203" max="203" width="15" bestFit="1" customWidth="1"/>
    <col min="204" max="204" width="14.5" bestFit="1" customWidth="1"/>
    <col min="205" max="205" width="15" bestFit="1" customWidth="1"/>
    <col min="206" max="206" width="14.5" bestFit="1" customWidth="1"/>
    <col min="207" max="207" width="15" bestFit="1" customWidth="1"/>
    <col min="208" max="208" width="14.5" bestFit="1" customWidth="1"/>
    <col min="209" max="209" width="15" bestFit="1" customWidth="1"/>
    <col min="210" max="210" width="14.5" bestFit="1" customWidth="1"/>
    <col min="211" max="211" width="15" bestFit="1" customWidth="1"/>
    <col min="212" max="212" width="14.5" bestFit="1" customWidth="1"/>
    <col min="213" max="213" width="15" bestFit="1" customWidth="1"/>
    <col min="214" max="214" width="14.5" bestFit="1" customWidth="1"/>
    <col min="215" max="215" width="15" bestFit="1" customWidth="1"/>
    <col min="216" max="216" width="14.5" bestFit="1" customWidth="1"/>
    <col min="217" max="217" width="15" bestFit="1" customWidth="1"/>
    <col min="218" max="218" width="14.5" bestFit="1" customWidth="1"/>
    <col min="219" max="219" width="15" bestFit="1" customWidth="1"/>
    <col min="220" max="220" width="14.5" bestFit="1" customWidth="1"/>
    <col min="221" max="221" width="15" bestFit="1" customWidth="1"/>
    <col min="222" max="222" width="14.5" bestFit="1" customWidth="1"/>
    <col min="223" max="223" width="15" bestFit="1" customWidth="1"/>
    <col min="224" max="224" width="14.5" bestFit="1" customWidth="1"/>
    <col min="225" max="225" width="15" bestFit="1" customWidth="1"/>
    <col min="226" max="226" width="14.5" bestFit="1" customWidth="1"/>
    <col min="227" max="227" width="15" bestFit="1" customWidth="1"/>
    <col min="228" max="228" width="14.5" bestFit="1" customWidth="1"/>
    <col min="229" max="229" width="15" bestFit="1" customWidth="1"/>
    <col min="230" max="230" width="14.5" bestFit="1" customWidth="1"/>
    <col min="231" max="231" width="15" bestFit="1" customWidth="1"/>
    <col min="232" max="232" width="14.5" bestFit="1" customWidth="1"/>
    <col min="233" max="233" width="15" bestFit="1" customWidth="1"/>
    <col min="234" max="234" width="14.5" bestFit="1" customWidth="1"/>
    <col min="235" max="235" width="15" bestFit="1" customWidth="1"/>
    <col min="236" max="236" width="14.5" bestFit="1" customWidth="1"/>
    <col min="237" max="237" width="15" bestFit="1" customWidth="1"/>
    <col min="238" max="238" width="14.5" bestFit="1" customWidth="1"/>
    <col min="239" max="239" width="15" bestFit="1" customWidth="1"/>
    <col min="240" max="240" width="14.5" bestFit="1" customWidth="1"/>
    <col min="241" max="241" width="15" bestFit="1" customWidth="1"/>
    <col min="242" max="242" width="14.5" bestFit="1" customWidth="1"/>
    <col min="243" max="243" width="15" bestFit="1" customWidth="1"/>
    <col min="244" max="244" width="14.5" bestFit="1" customWidth="1"/>
    <col min="245" max="245" width="15" bestFit="1" customWidth="1"/>
    <col min="246" max="246" width="14.5" bestFit="1" customWidth="1"/>
    <col min="247" max="247" width="15" bestFit="1" customWidth="1"/>
    <col min="248" max="248" width="14.5" bestFit="1" customWidth="1"/>
    <col min="249" max="249" width="15" bestFit="1" customWidth="1"/>
    <col min="250" max="250" width="14.5" bestFit="1" customWidth="1"/>
    <col min="251" max="251" width="15" bestFit="1" customWidth="1"/>
    <col min="252" max="252" width="14.5" bestFit="1" customWidth="1"/>
    <col min="253" max="253" width="15" bestFit="1" customWidth="1"/>
    <col min="254" max="254" width="14.5" bestFit="1" customWidth="1"/>
    <col min="255" max="255" width="15" bestFit="1" customWidth="1"/>
    <col min="256" max="256" width="14.5" bestFit="1" customWidth="1"/>
    <col min="257" max="257" width="15" bestFit="1" customWidth="1"/>
    <col min="258" max="258" width="14.5" bestFit="1" customWidth="1"/>
    <col min="259" max="259" width="15" bestFit="1" customWidth="1"/>
    <col min="260" max="260" width="14.5" bestFit="1" customWidth="1"/>
    <col min="261" max="261" width="15" bestFit="1" customWidth="1"/>
    <col min="262" max="262" width="14.5" bestFit="1" customWidth="1"/>
    <col min="263" max="263" width="15" bestFit="1" customWidth="1"/>
    <col min="264" max="264" width="14.5" bestFit="1" customWidth="1"/>
    <col min="265" max="265" width="15" bestFit="1" customWidth="1"/>
    <col min="266" max="266" width="14.5" bestFit="1" customWidth="1"/>
    <col min="267" max="267" width="15" bestFit="1" customWidth="1"/>
    <col min="268" max="268" width="14.5" bestFit="1" customWidth="1"/>
    <col min="269" max="269" width="15" bestFit="1" customWidth="1"/>
    <col min="270" max="270" width="14.5" bestFit="1" customWidth="1"/>
    <col min="271" max="271" width="15" bestFit="1" customWidth="1"/>
    <col min="272" max="272" width="14.5" bestFit="1" customWidth="1"/>
    <col min="273" max="273" width="15" bestFit="1" customWidth="1"/>
    <col min="274" max="274" width="14.5" bestFit="1" customWidth="1"/>
    <col min="275" max="275" width="15" bestFit="1" customWidth="1"/>
    <col min="276" max="276" width="14.5" bestFit="1" customWidth="1"/>
    <col min="277" max="277" width="15" bestFit="1" customWidth="1"/>
    <col min="278" max="278" width="14.5" bestFit="1" customWidth="1"/>
    <col min="279" max="279" width="15" bestFit="1" customWidth="1"/>
    <col min="280" max="280" width="14.5" bestFit="1" customWidth="1"/>
    <col min="281" max="281" width="15" bestFit="1" customWidth="1"/>
    <col min="282" max="282" width="14.5" bestFit="1" customWidth="1"/>
    <col min="283" max="283" width="15" bestFit="1" customWidth="1"/>
    <col min="284" max="284" width="14.5" bestFit="1" customWidth="1"/>
    <col min="285" max="285" width="15" bestFit="1" customWidth="1"/>
    <col min="286" max="286" width="14.5" bestFit="1" customWidth="1"/>
    <col min="287" max="287" width="15" bestFit="1" customWidth="1"/>
    <col min="288" max="288" width="14.5" bestFit="1" customWidth="1"/>
    <col min="289" max="289" width="15" bestFit="1" customWidth="1"/>
    <col min="290" max="290" width="14.5" bestFit="1" customWidth="1"/>
    <col min="291" max="291" width="15" bestFit="1" customWidth="1"/>
    <col min="292" max="292" width="14.5" bestFit="1" customWidth="1"/>
    <col min="293" max="293" width="15" bestFit="1" customWidth="1"/>
    <col min="294" max="294" width="14.5" bestFit="1" customWidth="1"/>
    <col min="295" max="295" width="15" bestFit="1" customWidth="1"/>
    <col min="296" max="296" width="14.5" bestFit="1" customWidth="1"/>
    <col min="297" max="297" width="15" bestFit="1" customWidth="1"/>
    <col min="298" max="298" width="14.5" bestFit="1" customWidth="1"/>
    <col min="299" max="299" width="15" bestFit="1" customWidth="1"/>
    <col min="300" max="300" width="14.5" bestFit="1" customWidth="1"/>
    <col min="301" max="301" width="15" bestFit="1" customWidth="1"/>
    <col min="302" max="302" width="14.5" bestFit="1" customWidth="1"/>
    <col min="303" max="303" width="15" bestFit="1" customWidth="1"/>
    <col min="304" max="304" width="14.5" bestFit="1" customWidth="1"/>
    <col min="305" max="305" width="15" bestFit="1" customWidth="1"/>
    <col min="306" max="306" width="14.5" bestFit="1" customWidth="1"/>
    <col min="307" max="307" width="15" bestFit="1" customWidth="1"/>
    <col min="308" max="308" width="14.5" bestFit="1" customWidth="1"/>
    <col min="309" max="309" width="15" bestFit="1" customWidth="1"/>
    <col min="310" max="310" width="14.5" bestFit="1" customWidth="1"/>
    <col min="311" max="311" width="15" bestFit="1" customWidth="1"/>
    <col min="312" max="312" width="14.5" bestFit="1" customWidth="1"/>
    <col min="313" max="313" width="15" bestFit="1" customWidth="1"/>
    <col min="314" max="314" width="14.5" bestFit="1" customWidth="1"/>
    <col min="315" max="315" width="15" bestFit="1" customWidth="1"/>
    <col min="316" max="316" width="14.5" bestFit="1" customWidth="1"/>
    <col min="317" max="317" width="15" bestFit="1" customWidth="1"/>
    <col min="318" max="318" width="14.5" bestFit="1" customWidth="1"/>
    <col min="319" max="319" width="15" bestFit="1" customWidth="1"/>
    <col min="320" max="320" width="19.5" bestFit="1" customWidth="1"/>
    <col min="321" max="321" width="20" bestFit="1" customWidth="1"/>
  </cols>
  <sheetData>
    <row r="1" spans="1:13" x14ac:dyDescent="0.2">
      <c r="B1"/>
      <c r="E1" s="61"/>
      <c r="F1" s="61"/>
      <c r="G1" s="61"/>
    </row>
    <row r="2" spans="1:13" x14ac:dyDescent="0.2">
      <c r="A2" s="69" t="s">
        <v>403</v>
      </c>
      <c r="E2" s="61"/>
      <c r="F2" s="61"/>
      <c r="G2" s="62" t="s">
        <v>405</v>
      </c>
      <c r="H2" s="61" t="s">
        <v>399</v>
      </c>
      <c r="I2" s="61"/>
      <c r="J2" s="61"/>
      <c r="K2" s="61"/>
      <c r="L2" s="61"/>
      <c r="M2" s="61"/>
    </row>
    <row r="3" spans="1:13" x14ac:dyDescent="0.2">
      <c r="A3" s="56" t="s">
        <v>290</v>
      </c>
      <c r="B3" t="s">
        <v>299</v>
      </c>
      <c r="C3" t="s">
        <v>512</v>
      </c>
      <c r="D3" t="s">
        <v>513</v>
      </c>
      <c r="E3" t="s">
        <v>514</v>
      </c>
    </row>
    <row r="4" spans="1:13" x14ac:dyDescent="0.2">
      <c r="A4" s="24" t="s">
        <v>154</v>
      </c>
      <c r="B4" s="76">
        <v>200388</v>
      </c>
      <c r="C4" s="76">
        <v>0.27934824252349438</v>
      </c>
      <c r="D4" s="76">
        <v>0.31038860551244396</v>
      </c>
      <c r="E4" s="76">
        <v>0.41026315196406171</v>
      </c>
    </row>
    <row r="5" spans="1:13" x14ac:dyDescent="0.2">
      <c r="A5" s="24" t="s">
        <v>157</v>
      </c>
      <c r="B5" s="76">
        <v>190531</v>
      </c>
      <c r="C5" s="76">
        <v>0.21594181878457619</v>
      </c>
      <c r="D5" s="76">
        <v>0.2591840540372542</v>
      </c>
      <c r="E5" s="76">
        <v>0.52487412717816961</v>
      </c>
    </row>
    <row r="6" spans="1:13" x14ac:dyDescent="0.2">
      <c r="A6" s="24" t="s">
        <v>160</v>
      </c>
      <c r="B6" s="76">
        <v>193326</v>
      </c>
      <c r="C6" s="76">
        <v>0.18167592170328442</v>
      </c>
      <c r="D6" s="76">
        <v>0.28419668964777206</v>
      </c>
      <c r="E6" s="76">
        <v>0.53412738864894349</v>
      </c>
    </row>
    <row r="7" spans="1:13" x14ac:dyDescent="0.2">
      <c r="A7" s="24" t="s">
        <v>162</v>
      </c>
      <c r="B7" s="76">
        <v>537611</v>
      </c>
      <c r="C7" s="76">
        <v>0.17894565504893284</v>
      </c>
      <c r="D7" s="76">
        <v>0.37790189017070541</v>
      </c>
      <c r="E7" s="76">
        <v>0.44315245478036175</v>
      </c>
    </row>
    <row r="8" spans="1:13" x14ac:dyDescent="0.2">
      <c r="A8" s="24" t="s">
        <v>172</v>
      </c>
      <c r="B8" s="76">
        <v>546711</v>
      </c>
      <c r="C8" s="76">
        <v>0.13453876136855783</v>
      </c>
      <c r="D8" s="76">
        <v>0.34688988739714161</v>
      </c>
      <c r="E8" s="76">
        <v>0.51857135123430054</v>
      </c>
    </row>
    <row r="9" spans="1:13" x14ac:dyDescent="0.2">
      <c r="A9" s="24" t="s">
        <v>185</v>
      </c>
      <c r="B9" s="76">
        <v>163984</v>
      </c>
      <c r="C9" s="76">
        <v>0.10465889925575206</v>
      </c>
      <c r="D9" s="76">
        <v>0.23811292144393384</v>
      </c>
      <c r="E9" s="76">
        <v>0.65722817930031407</v>
      </c>
    </row>
    <row r="10" spans="1:13" x14ac:dyDescent="0.2">
      <c r="A10" s="24" t="s">
        <v>187</v>
      </c>
      <c r="B10" s="76">
        <v>806451</v>
      </c>
      <c r="C10" s="76">
        <v>0.10696181758506254</v>
      </c>
      <c r="D10" s="76">
        <v>0.28212722097355275</v>
      </c>
      <c r="E10" s="76">
        <v>0.61091096144138468</v>
      </c>
    </row>
    <row r="11" spans="1:13" x14ac:dyDescent="0.2">
      <c r="A11" s="24" t="s">
        <v>194</v>
      </c>
      <c r="B11" s="76">
        <v>581467</v>
      </c>
      <c r="C11" s="76">
        <v>0.1760740753286282</v>
      </c>
      <c r="D11" s="76">
        <v>0.29935230057898571</v>
      </c>
      <c r="E11" s="76">
        <v>0.52457362409238606</v>
      </c>
    </row>
    <row r="12" spans="1:13" x14ac:dyDescent="0.2">
      <c r="A12" s="24" t="s">
        <v>202</v>
      </c>
      <c r="B12" s="76">
        <v>171905</v>
      </c>
      <c r="C12" s="76">
        <v>0.13657964976238526</v>
      </c>
      <c r="D12" s="76">
        <v>0.23917713690514941</v>
      </c>
      <c r="E12" s="76">
        <v>0.62424321333246535</v>
      </c>
    </row>
    <row r="13" spans="1:13" x14ac:dyDescent="0.2">
      <c r="A13" s="24" t="s">
        <v>291</v>
      </c>
      <c r="B13" s="76">
        <v>3392374</v>
      </c>
      <c r="C13" s="76">
        <v>1.5147248413606738</v>
      </c>
      <c r="D13" s="76">
        <v>2.6373307066669387</v>
      </c>
      <c r="E13" s="76">
        <v>4.8479444519723875</v>
      </c>
    </row>
    <row r="14" spans="1:13" x14ac:dyDescent="0.2">
      <c r="B14"/>
    </row>
    <row r="15" spans="1:13" x14ac:dyDescent="0.2">
      <c r="B15"/>
    </row>
    <row r="16" spans="1:13" x14ac:dyDescent="0.2">
      <c r="B16"/>
    </row>
    <row r="17" spans="2:2" x14ac:dyDescent="0.2">
      <c r="B17"/>
    </row>
    <row r="18" spans="2:2" x14ac:dyDescent="0.2">
      <c r="B18"/>
    </row>
    <row r="19" spans="2:2" x14ac:dyDescent="0.2">
      <c r="B19"/>
    </row>
    <row r="20" spans="2:2" x14ac:dyDescent="0.2">
      <c r="B20"/>
    </row>
    <row r="21" spans="2:2" x14ac:dyDescent="0.2">
      <c r="B21"/>
    </row>
    <row r="22" spans="2:2" x14ac:dyDescent="0.2">
      <c r="B22"/>
    </row>
    <row r="23" spans="2:2" x14ac:dyDescent="0.2">
      <c r="B23"/>
    </row>
    <row r="24" spans="2:2" x14ac:dyDescent="0.2">
      <c r="B24"/>
    </row>
    <row r="25" spans="2:2" x14ac:dyDescent="0.2">
      <c r="B25"/>
    </row>
    <row r="26" spans="2:2" x14ac:dyDescent="0.2">
      <c r="B26"/>
    </row>
    <row r="27" spans="2:2" x14ac:dyDescent="0.2">
      <c r="B27"/>
    </row>
    <row r="28" spans="2:2" x14ac:dyDescent="0.2">
      <c r="B28"/>
    </row>
    <row r="29" spans="2:2" x14ac:dyDescent="0.2">
      <c r="B29"/>
    </row>
    <row r="30" spans="2:2" x14ac:dyDescent="0.2">
      <c r="B30"/>
    </row>
    <row r="31" spans="2:2" x14ac:dyDescent="0.2">
      <c r="B31"/>
    </row>
    <row r="32" spans="2:2" x14ac:dyDescent="0.2">
      <c r="B32"/>
    </row>
    <row r="33" spans="2:2" x14ac:dyDescent="0.2">
      <c r="B33"/>
    </row>
    <row r="34" spans="2:2" x14ac:dyDescent="0.2">
      <c r="B34"/>
    </row>
    <row r="35" spans="2:2" x14ac:dyDescent="0.2">
      <c r="B35"/>
    </row>
    <row r="36" spans="2:2" x14ac:dyDescent="0.2">
      <c r="B36"/>
    </row>
    <row r="37" spans="2:2" x14ac:dyDescent="0.2">
      <c r="B37"/>
    </row>
    <row r="38" spans="2:2" x14ac:dyDescent="0.2">
      <c r="B38"/>
    </row>
    <row r="39" spans="2:2" x14ac:dyDescent="0.2">
      <c r="B39"/>
    </row>
    <row r="40" spans="2:2" x14ac:dyDescent="0.2">
      <c r="B40"/>
    </row>
    <row r="41" spans="2:2" x14ac:dyDescent="0.2">
      <c r="B41"/>
    </row>
    <row r="42" spans="2:2" x14ac:dyDescent="0.2">
      <c r="B42"/>
    </row>
    <row r="43" spans="2:2" x14ac:dyDescent="0.2">
      <c r="B43"/>
    </row>
    <row r="44" spans="2:2" x14ac:dyDescent="0.2">
      <c r="B44"/>
    </row>
    <row r="45" spans="2:2" x14ac:dyDescent="0.2">
      <c r="B45"/>
    </row>
    <row r="46" spans="2:2" x14ac:dyDescent="0.2">
      <c r="B46"/>
    </row>
    <row r="47" spans="2:2" x14ac:dyDescent="0.2">
      <c r="B47"/>
    </row>
    <row r="48" spans="2:2" x14ac:dyDescent="0.2">
      <c r="B48"/>
    </row>
    <row r="49" spans="2:2" x14ac:dyDescent="0.2">
      <c r="B49"/>
    </row>
    <row r="50" spans="2:2" x14ac:dyDescent="0.2">
      <c r="B50"/>
    </row>
    <row r="51" spans="2:2" x14ac:dyDescent="0.2">
      <c r="B51"/>
    </row>
    <row r="52" spans="2:2" x14ac:dyDescent="0.2">
      <c r="B52"/>
    </row>
    <row r="53" spans="2:2" x14ac:dyDescent="0.2">
      <c r="B53"/>
    </row>
    <row r="54" spans="2:2" x14ac:dyDescent="0.2">
      <c r="B54"/>
    </row>
    <row r="55" spans="2:2" x14ac:dyDescent="0.2">
      <c r="B55"/>
    </row>
    <row r="56" spans="2:2" x14ac:dyDescent="0.2">
      <c r="B56"/>
    </row>
    <row r="57" spans="2:2" x14ac:dyDescent="0.2">
      <c r="B57"/>
    </row>
    <row r="58" spans="2:2" x14ac:dyDescent="0.2">
      <c r="B58"/>
    </row>
    <row r="59" spans="2:2" x14ac:dyDescent="0.2">
      <c r="B59"/>
    </row>
    <row r="60" spans="2:2" x14ac:dyDescent="0.2">
      <c r="B60"/>
    </row>
    <row r="61" spans="2:2" x14ac:dyDescent="0.2">
      <c r="B61"/>
    </row>
    <row r="62" spans="2:2" x14ac:dyDescent="0.2">
      <c r="B62"/>
    </row>
    <row r="63" spans="2:2" x14ac:dyDescent="0.2">
      <c r="B63"/>
    </row>
    <row r="64" spans="2:2" x14ac:dyDescent="0.2">
      <c r="B64"/>
    </row>
    <row r="65" spans="2:2" x14ac:dyDescent="0.2">
      <c r="B65"/>
    </row>
    <row r="66" spans="2:2" x14ac:dyDescent="0.2">
      <c r="B66"/>
    </row>
    <row r="67" spans="2:2" x14ac:dyDescent="0.2">
      <c r="B67"/>
    </row>
    <row r="68" spans="2:2" x14ac:dyDescent="0.2">
      <c r="B68"/>
    </row>
    <row r="69" spans="2:2" x14ac:dyDescent="0.2">
      <c r="B69"/>
    </row>
    <row r="70" spans="2:2" x14ac:dyDescent="0.2">
      <c r="B70"/>
    </row>
    <row r="71" spans="2:2" x14ac:dyDescent="0.2">
      <c r="B71"/>
    </row>
    <row r="72" spans="2:2" x14ac:dyDescent="0.2">
      <c r="B72"/>
    </row>
    <row r="73" spans="2:2" x14ac:dyDescent="0.2">
      <c r="B73"/>
    </row>
    <row r="74" spans="2:2" x14ac:dyDescent="0.2">
      <c r="B74"/>
    </row>
    <row r="75" spans="2:2" x14ac:dyDescent="0.2">
      <c r="B75"/>
    </row>
    <row r="76" spans="2:2" x14ac:dyDescent="0.2">
      <c r="B76"/>
    </row>
    <row r="77" spans="2:2" x14ac:dyDescent="0.2">
      <c r="B77"/>
    </row>
    <row r="78" spans="2:2" x14ac:dyDescent="0.2">
      <c r="B78"/>
    </row>
    <row r="79" spans="2:2" x14ac:dyDescent="0.2">
      <c r="B79"/>
    </row>
    <row r="80" spans="2:2" x14ac:dyDescent="0.2">
      <c r="B80"/>
    </row>
    <row r="81" spans="2:2" x14ac:dyDescent="0.2">
      <c r="B81"/>
    </row>
    <row r="82" spans="2:2" x14ac:dyDescent="0.2">
      <c r="B82"/>
    </row>
    <row r="83" spans="2:2" x14ac:dyDescent="0.2">
      <c r="B83"/>
    </row>
    <row r="84" spans="2:2" x14ac:dyDescent="0.2">
      <c r="B84"/>
    </row>
    <row r="85" spans="2:2" x14ac:dyDescent="0.2">
      <c r="B85"/>
    </row>
    <row r="86" spans="2:2" x14ac:dyDescent="0.2">
      <c r="B86"/>
    </row>
    <row r="87" spans="2:2" x14ac:dyDescent="0.2">
      <c r="B87"/>
    </row>
    <row r="88" spans="2:2" x14ac:dyDescent="0.2">
      <c r="B88"/>
    </row>
    <row r="89" spans="2:2" x14ac:dyDescent="0.2">
      <c r="B89"/>
    </row>
    <row r="90" spans="2:2" x14ac:dyDescent="0.2">
      <c r="B90"/>
    </row>
    <row r="91" spans="2:2" x14ac:dyDescent="0.2">
      <c r="B91"/>
    </row>
    <row r="92" spans="2:2" x14ac:dyDescent="0.2">
      <c r="B92"/>
    </row>
    <row r="93" spans="2:2" x14ac:dyDescent="0.2">
      <c r="B93"/>
    </row>
    <row r="94" spans="2:2" x14ac:dyDescent="0.2">
      <c r="B94"/>
    </row>
    <row r="95" spans="2:2" x14ac:dyDescent="0.2">
      <c r="B95"/>
    </row>
    <row r="96" spans="2:2" x14ac:dyDescent="0.2">
      <c r="B96"/>
    </row>
    <row r="97" spans="2:2" x14ac:dyDescent="0.2">
      <c r="B97"/>
    </row>
    <row r="98" spans="2:2" x14ac:dyDescent="0.2">
      <c r="B98"/>
    </row>
    <row r="99" spans="2:2" x14ac:dyDescent="0.2">
      <c r="B99"/>
    </row>
    <row r="100" spans="2:2" x14ac:dyDescent="0.2">
      <c r="B100"/>
    </row>
    <row r="101" spans="2:2" x14ac:dyDescent="0.2">
      <c r="B101"/>
    </row>
    <row r="102" spans="2:2" x14ac:dyDescent="0.2">
      <c r="B102"/>
    </row>
    <row r="103" spans="2:2" x14ac:dyDescent="0.2">
      <c r="B103"/>
    </row>
    <row r="104" spans="2:2" x14ac:dyDescent="0.2">
      <c r="B104"/>
    </row>
    <row r="105" spans="2:2" x14ac:dyDescent="0.2">
      <c r="B105"/>
    </row>
    <row r="106" spans="2:2" x14ac:dyDescent="0.2">
      <c r="B106"/>
    </row>
    <row r="107" spans="2:2" x14ac:dyDescent="0.2">
      <c r="B107"/>
    </row>
    <row r="108" spans="2:2" x14ac:dyDescent="0.2">
      <c r="B108"/>
    </row>
    <row r="109" spans="2:2" x14ac:dyDescent="0.2">
      <c r="B109"/>
    </row>
    <row r="110" spans="2:2" x14ac:dyDescent="0.2">
      <c r="B110"/>
    </row>
    <row r="111" spans="2:2" x14ac:dyDescent="0.2">
      <c r="B111"/>
    </row>
    <row r="112" spans="2:2" x14ac:dyDescent="0.2">
      <c r="B112"/>
    </row>
    <row r="113" spans="2:2" x14ac:dyDescent="0.2">
      <c r="B113"/>
    </row>
    <row r="114" spans="2:2" x14ac:dyDescent="0.2">
      <c r="B114"/>
    </row>
    <row r="115" spans="2:2" x14ac:dyDescent="0.2">
      <c r="B115"/>
    </row>
    <row r="116" spans="2:2" x14ac:dyDescent="0.2">
      <c r="B116"/>
    </row>
    <row r="117" spans="2:2" x14ac:dyDescent="0.2">
      <c r="B117"/>
    </row>
    <row r="118" spans="2:2" x14ac:dyDescent="0.2">
      <c r="B118"/>
    </row>
    <row r="119" spans="2:2" x14ac:dyDescent="0.2">
      <c r="B119"/>
    </row>
    <row r="120" spans="2:2" x14ac:dyDescent="0.2">
      <c r="B120"/>
    </row>
    <row r="121" spans="2:2" x14ac:dyDescent="0.2">
      <c r="B121"/>
    </row>
    <row r="122" spans="2:2" x14ac:dyDescent="0.2">
      <c r="B122"/>
    </row>
    <row r="123" spans="2:2" x14ac:dyDescent="0.2">
      <c r="B123"/>
    </row>
    <row r="124" spans="2:2" x14ac:dyDescent="0.2">
      <c r="B124"/>
    </row>
    <row r="125" spans="2:2" x14ac:dyDescent="0.2">
      <c r="B125"/>
    </row>
    <row r="126" spans="2:2" x14ac:dyDescent="0.2">
      <c r="B126"/>
    </row>
    <row r="127" spans="2:2" x14ac:dyDescent="0.2">
      <c r="B127"/>
    </row>
    <row r="128" spans="2:2" x14ac:dyDescent="0.2">
      <c r="B128"/>
    </row>
    <row r="129" spans="2:2" x14ac:dyDescent="0.2">
      <c r="B129"/>
    </row>
    <row r="130" spans="2:2" x14ac:dyDescent="0.2">
      <c r="B130"/>
    </row>
    <row r="131" spans="2:2" x14ac:dyDescent="0.2">
      <c r="B131"/>
    </row>
    <row r="132" spans="2:2" x14ac:dyDescent="0.2">
      <c r="B132"/>
    </row>
    <row r="133" spans="2:2" x14ac:dyDescent="0.2">
      <c r="B133"/>
    </row>
    <row r="134" spans="2:2" x14ac:dyDescent="0.2">
      <c r="B134"/>
    </row>
    <row r="135" spans="2:2" x14ac:dyDescent="0.2">
      <c r="B135"/>
    </row>
    <row r="136" spans="2:2" x14ac:dyDescent="0.2">
      <c r="B136"/>
    </row>
    <row r="137" spans="2:2" x14ac:dyDescent="0.2">
      <c r="B137"/>
    </row>
    <row r="138" spans="2:2" x14ac:dyDescent="0.2">
      <c r="B138"/>
    </row>
    <row r="139" spans="2:2" x14ac:dyDescent="0.2">
      <c r="B139"/>
    </row>
    <row r="140" spans="2:2" x14ac:dyDescent="0.2">
      <c r="B140"/>
    </row>
    <row r="141" spans="2:2" x14ac:dyDescent="0.2">
      <c r="B141"/>
    </row>
    <row r="142" spans="2:2" x14ac:dyDescent="0.2">
      <c r="B142"/>
    </row>
    <row r="143" spans="2:2" x14ac:dyDescent="0.2">
      <c r="B143"/>
    </row>
    <row r="144" spans="2:2" x14ac:dyDescent="0.2">
      <c r="B144"/>
    </row>
    <row r="145" spans="2:2" x14ac:dyDescent="0.2">
      <c r="B145"/>
    </row>
    <row r="146" spans="2:2" x14ac:dyDescent="0.2">
      <c r="B146"/>
    </row>
    <row r="147" spans="2:2" x14ac:dyDescent="0.2">
      <c r="B147"/>
    </row>
    <row r="148" spans="2:2" x14ac:dyDescent="0.2">
      <c r="B148"/>
    </row>
    <row r="149" spans="2:2" x14ac:dyDescent="0.2">
      <c r="B149"/>
    </row>
    <row r="150" spans="2:2" x14ac:dyDescent="0.2">
      <c r="B150"/>
    </row>
    <row r="151" spans="2:2" x14ac:dyDescent="0.2">
      <c r="B151"/>
    </row>
    <row r="152" spans="2:2" x14ac:dyDescent="0.2">
      <c r="B152"/>
    </row>
    <row r="153" spans="2:2" x14ac:dyDescent="0.2">
      <c r="B153"/>
    </row>
    <row r="154" spans="2:2" x14ac:dyDescent="0.2">
      <c r="B154"/>
    </row>
    <row r="155" spans="2:2" x14ac:dyDescent="0.2">
      <c r="B155"/>
    </row>
    <row r="156" spans="2:2" x14ac:dyDescent="0.2">
      <c r="B156"/>
    </row>
    <row r="157" spans="2:2" x14ac:dyDescent="0.2">
      <c r="B157"/>
    </row>
    <row r="158" spans="2:2" x14ac:dyDescent="0.2">
      <c r="B158"/>
    </row>
    <row r="159" spans="2:2" x14ac:dyDescent="0.2">
      <c r="B159"/>
    </row>
    <row r="160" spans="2:2" x14ac:dyDescent="0.2">
      <c r="B160"/>
    </row>
    <row r="161" spans="2:2" x14ac:dyDescent="0.2">
      <c r="B161"/>
    </row>
    <row r="162" spans="2:2" x14ac:dyDescent="0.2">
      <c r="B162"/>
    </row>
    <row r="163" spans="2:2" x14ac:dyDescent="0.2">
      <c r="B163"/>
    </row>
    <row r="164" spans="2:2" x14ac:dyDescent="0.2">
      <c r="B164"/>
    </row>
    <row r="165" spans="2:2" x14ac:dyDescent="0.2">
      <c r="B165"/>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592BA-4E97-4DB7-8EB8-8AF80754A2C2}">
  <sheetPr codeName="Sheet5">
    <tabColor rgb="FF66FF33"/>
  </sheetPr>
  <dimension ref="A2:G14"/>
  <sheetViews>
    <sheetView tabSelected="1" workbookViewId="0">
      <selection activeCell="A3" sqref="A3"/>
    </sheetView>
  </sheetViews>
  <sheetFormatPr baseColWidth="10" defaultColWidth="8.83203125" defaultRowHeight="15" x14ac:dyDescent="0.2"/>
  <cols>
    <col min="1" max="1" width="12.1640625" bestFit="1" customWidth="1"/>
    <col min="2" max="2" width="14.6640625" bestFit="1" customWidth="1"/>
    <col min="3" max="3" width="15.33203125" bestFit="1" customWidth="1"/>
    <col min="4" max="4" width="15.83203125" bestFit="1" customWidth="1"/>
  </cols>
  <sheetData>
    <row r="2" spans="1:7" x14ac:dyDescent="0.2">
      <c r="G2" s="1"/>
    </row>
    <row r="3" spans="1:7" x14ac:dyDescent="0.2">
      <c r="A3" s="56" t="s">
        <v>290</v>
      </c>
      <c r="B3" t="s">
        <v>513</v>
      </c>
      <c r="C3" t="s">
        <v>515</v>
      </c>
      <c r="D3" t="s">
        <v>516</v>
      </c>
    </row>
    <row r="4" spans="1:7" x14ac:dyDescent="0.2">
      <c r="A4" s="24" t="s">
        <v>154</v>
      </c>
      <c r="B4" s="76">
        <v>0.31038860551244396</v>
      </c>
      <c r="C4" s="76">
        <v>78247</v>
      </c>
      <c r="D4" s="76">
        <v>53232</v>
      </c>
    </row>
    <row r="5" spans="1:7" x14ac:dyDescent="0.2">
      <c r="A5" s="24" t="s">
        <v>158</v>
      </c>
      <c r="B5" s="76">
        <v>0.36304080797052002</v>
      </c>
      <c r="C5" s="76">
        <v>36055</v>
      </c>
      <c r="D5" s="76">
        <v>14450</v>
      </c>
    </row>
    <row r="6" spans="1:7" x14ac:dyDescent="0.2">
      <c r="A6" s="24" t="s">
        <v>162</v>
      </c>
      <c r="B6" s="76">
        <v>0.37790189017070541</v>
      </c>
      <c r="C6" s="76">
        <v>221847</v>
      </c>
      <c r="D6" s="76">
        <v>165436</v>
      </c>
    </row>
    <row r="7" spans="1:7" x14ac:dyDescent="0.2">
      <c r="A7" s="24" t="s">
        <v>172</v>
      </c>
      <c r="B7" s="76">
        <v>0.34688988739714161</v>
      </c>
      <c r="C7" s="76">
        <v>308162</v>
      </c>
      <c r="D7" s="76">
        <v>58377</v>
      </c>
    </row>
    <row r="8" spans="1:7" x14ac:dyDescent="0.2">
      <c r="A8" s="24" t="s">
        <v>194</v>
      </c>
      <c r="B8" s="76">
        <v>0.29935230057898571</v>
      </c>
      <c r="C8" s="76">
        <v>241994</v>
      </c>
      <c r="D8" s="76">
        <v>166400</v>
      </c>
    </row>
    <row r="9" spans="1:7" x14ac:dyDescent="0.2">
      <c r="A9" s="24" t="s">
        <v>197</v>
      </c>
      <c r="B9" s="76">
        <v>0.35542168674698793</v>
      </c>
      <c r="C9" s="76">
        <v>2976</v>
      </c>
      <c r="D9" s="76">
        <v>1154</v>
      </c>
    </row>
    <row r="10" spans="1:7" x14ac:dyDescent="0.2">
      <c r="A10" s="24" t="s">
        <v>233</v>
      </c>
      <c r="B10" s="76">
        <v>0.30174492306927492</v>
      </c>
      <c r="C10" s="76">
        <v>49446</v>
      </c>
      <c r="D10" s="76">
        <v>30107</v>
      </c>
    </row>
    <row r="11" spans="1:7" x14ac:dyDescent="0.2">
      <c r="A11" s="24" t="s">
        <v>248</v>
      </c>
      <c r="B11" s="76">
        <v>0.3213047534582647</v>
      </c>
      <c r="C11" s="76">
        <v>59119</v>
      </c>
      <c r="D11" s="76">
        <v>26780</v>
      </c>
    </row>
    <row r="12" spans="1:7" x14ac:dyDescent="0.2">
      <c r="A12" s="24" t="s">
        <v>257</v>
      </c>
      <c r="B12" s="76">
        <v>0.34024424879295656</v>
      </c>
      <c r="C12" s="76">
        <v>2114</v>
      </c>
      <c r="D12" s="76">
        <v>1392</v>
      </c>
    </row>
    <row r="13" spans="1:7" x14ac:dyDescent="0.2">
      <c r="A13" s="24" t="s">
        <v>258</v>
      </c>
      <c r="B13" s="76">
        <v>0.32578209277238401</v>
      </c>
      <c r="C13" s="76">
        <v>561</v>
      </c>
      <c r="D13" s="76">
        <v>360</v>
      </c>
    </row>
    <row r="14" spans="1:7" x14ac:dyDescent="0.2">
      <c r="A14" s="24" t="s">
        <v>291</v>
      </c>
      <c r="B14" s="76">
        <v>3.3420711964696652</v>
      </c>
      <c r="C14" s="76">
        <v>1000521</v>
      </c>
      <c r="D14" s="76">
        <v>517688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143ABD-A5FC-4355-8AD8-7ADD2A271916}">
  <sheetPr codeName="Sheet6"/>
  <dimension ref="A1:C5"/>
  <sheetViews>
    <sheetView workbookViewId="0">
      <selection activeCell="B7" sqref="B7"/>
    </sheetView>
  </sheetViews>
  <sheetFormatPr baseColWidth="10" defaultColWidth="8.83203125" defaultRowHeight="15" x14ac:dyDescent="0.2"/>
  <cols>
    <col min="1" max="1" width="25.6640625" customWidth="1"/>
    <col min="2" max="2" width="63.83203125" customWidth="1"/>
    <col min="3" max="3" width="40.5" customWidth="1"/>
  </cols>
  <sheetData>
    <row r="1" spans="1:3" ht="16" thickBot="1" x14ac:dyDescent="0.25">
      <c r="A1" s="22">
        <f ca="1">NOW()</f>
        <v>45719.899683101852</v>
      </c>
      <c r="B1" s="24" t="s">
        <v>24</v>
      </c>
    </row>
    <row r="2" spans="1:3" ht="251.25" customHeight="1" thickBot="1" x14ac:dyDescent="0.25">
      <c r="B2" s="28" t="s">
        <v>23</v>
      </c>
      <c r="C2" s="25" t="s">
        <v>116</v>
      </c>
    </row>
    <row r="4" spans="1:3" s="26" customFormat="1" ht="22.5" customHeight="1" x14ac:dyDescent="0.2">
      <c r="A4" s="25" t="s">
        <v>25</v>
      </c>
      <c r="B4" s="27" t="s">
        <v>26</v>
      </c>
    </row>
    <row r="5" spans="1:3" s="26" customFormat="1" ht="22.5" customHeight="1" x14ac:dyDescent="0.2">
      <c r="A5" s="25" t="s">
        <v>27</v>
      </c>
      <c r="B5" s="27" t="s">
        <v>28</v>
      </c>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4B7188-0BE3-DF43-A0C3-EC8AD70CA76F}">
  <sheetPr codeName="Sheet10">
    <tabColor rgb="FF66FF33"/>
  </sheetPr>
  <dimension ref="A1:S17"/>
  <sheetViews>
    <sheetView workbookViewId="0">
      <selection activeCell="J18" sqref="J18"/>
    </sheetView>
  </sheetViews>
  <sheetFormatPr baseColWidth="10" defaultColWidth="8.83203125" defaultRowHeight="15" x14ac:dyDescent="0.2"/>
  <sheetData>
    <row r="1" spans="1:19" x14ac:dyDescent="0.2">
      <c r="A1" s="69" t="s">
        <v>403</v>
      </c>
      <c r="M1" s="1"/>
      <c r="N1" s="33"/>
      <c r="O1" s="34"/>
      <c r="S1" s="1"/>
    </row>
    <row r="2" spans="1:19" x14ac:dyDescent="0.2">
      <c r="B2" s="35" t="s">
        <v>32</v>
      </c>
      <c r="D2" s="36"/>
      <c r="E2" s="35" t="s">
        <v>34</v>
      </c>
      <c r="G2" s="36"/>
      <c r="H2" s="35" t="s">
        <v>34</v>
      </c>
      <c r="I2" s="35" t="s">
        <v>36</v>
      </c>
      <c r="K2" s="35" t="s">
        <v>38</v>
      </c>
    </row>
    <row r="3" spans="1:19" x14ac:dyDescent="0.2">
      <c r="B3" s="35" t="s">
        <v>33</v>
      </c>
      <c r="C3" s="36" t="s">
        <v>39</v>
      </c>
      <c r="D3" s="36"/>
      <c r="E3" s="35" t="s">
        <v>41</v>
      </c>
      <c r="F3" s="37" t="s">
        <v>41</v>
      </c>
      <c r="G3" s="36"/>
      <c r="H3" s="36" t="s">
        <v>41</v>
      </c>
      <c r="I3" s="35" t="s">
        <v>37</v>
      </c>
      <c r="J3" s="36" t="s">
        <v>48</v>
      </c>
      <c r="K3" s="36" t="s">
        <v>33</v>
      </c>
      <c r="L3" s="36"/>
      <c r="N3" s="38" t="s">
        <v>33</v>
      </c>
      <c r="P3" s="39" t="s">
        <v>42</v>
      </c>
    </row>
    <row r="4" spans="1:19" x14ac:dyDescent="0.2">
      <c r="B4" s="35" t="s">
        <v>44</v>
      </c>
      <c r="D4" s="36"/>
      <c r="E4" s="35" t="s">
        <v>74</v>
      </c>
      <c r="G4" s="36"/>
      <c r="H4" s="35" t="s">
        <v>33</v>
      </c>
      <c r="I4" s="35" t="s">
        <v>38</v>
      </c>
      <c r="K4" s="40" t="s">
        <v>40</v>
      </c>
      <c r="N4" s="38" t="s">
        <v>43</v>
      </c>
      <c r="O4" s="41" t="s">
        <v>76</v>
      </c>
      <c r="P4" s="38" t="s">
        <v>46</v>
      </c>
    </row>
    <row r="5" spans="1:19" x14ac:dyDescent="0.2">
      <c r="B5" s="40" t="s">
        <v>40</v>
      </c>
      <c r="C5" s="36" t="s">
        <v>47</v>
      </c>
      <c r="D5" s="36"/>
      <c r="E5" s="35" t="s">
        <v>34</v>
      </c>
      <c r="F5" s="36" t="s">
        <v>77</v>
      </c>
      <c r="G5" s="36"/>
      <c r="H5" s="37" t="s">
        <v>40</v>
      </c>
      <c r="I5" s="40" t="s">
        <v>38</v>
      </c>
      <c r="J5" s="36" t="s">
        <v>41</v>
      </c>
      <c r="K5" s="36" t="s">
        <v>51</v>
      </c>
      <c r="L5" s="37"/>
      <c r="N5" s="38">
        <v>2</v>
      </c>
      <c r="O5" s="42">
        <v>2</v>
      </c>
      <c r="P5" s="38" t="s">
        <v>52</v>
      </c>
    </row>
    <row r="6" spans="1:19" x14ac:dyDescent="0.2">
      <c r="B6" s="35" t="s">
        <v>42</v>
      </c>
      <c r="D6" s="36"/>
      <c r="E6" s="35" t="s">
        <v>55</v>
      </c>
      <c r="G6" s="23" t="s">
        <v>405</v>
      </c>
      <c r="H6" s="35" t="s">
        <v>45</v>
      </c>
      <c r="I6" s="35" t="s">
        <v>55</v>
      </c>
      <c r="K6" s="35" t="s">
        <v>73</v>
      </c>
      <c r="N6" s="38">
        <v>0</v>
      </c>
      <c r="O6" s="38">
        <v>5</v>
      </c>
      <c r="P6" s="38" t="s">
        <v>57</v>
      </c>
    </row>
    <row r="7" spans="1:19" x14ac:dyDescent="0.2">
      <c r="B7" s="35" t="s">
        <v>53</v>
      </c>
      <c r="C7" s="36" t="s">
        <v>50</v>
      </c>
      <c r="D7" s="36"/>
      <c r="E7" s="35" t="s">
        <v>74</v>
      </c>
      <c r="F7" s="36" t="s">
        <v>50</v>
      </c>
      <c r="G7" s="36"/>
      <c r="H7" s="36" t="s">
        <v>59</v>
      </c>
      <c r="I7" s="40" t="s">
        <v>40</v>
      </c>
      <c r="J7" s="36" t="s">
        <v>61</v>
      </c>
      <c r="K7" s="36" t="s">
        <v>61</v>
      </c>
      <c r="L7" s="36"/>
    </row>
    <row r="8" spans="1:19" x14ac:dyDescent="0.2">
      <c r="B8" s="35" t="s">
        <v>62</v>
      </c>
      <c r="D8" s="36"/>
      <c r="E8" s="40" t="s">
        <v>40</v>
      </c>
      <c r="G8" s="36"/>
      <c r="H8" s="35" t="s">
        <v>39</v>
      </c>
      <c r="I8" s="35" t="s">
        <v>35</v>
      </c>
      <c r="K8" s="35" t="s">
        <v>66</v>
      </c>
    </row>
    <row r="9" spans="1:19" x14ac:dyDescent="0.2">
      <c r="B9" s="35" t="s">
        <v>63</v>
      </c>
      <c r="C9" s="36" t="s">
        <v>47</v>
      </c>
      <c r="D9" s="36"/>
      <c r="E9" s="40" t="s">
        <v>34</v>
      </c>
      <c r="F9" s="36" t="s">
        <v>39</v>
      </c>
      <c r="G9" s="36"/>
      <c r="H9" s="36" t="s">
        <v>48</v>
      </c>
      <c r="I9" s="40" t="s">
        <v>55</v>
      </c>
      <c r="J9" s="36" t="s">
        <v>74</v>
      </c>
      <c r="K9" s="36" t="s">
        <v>39</v>
      </c>
      <c r="L9" s="36"/>
    </row>
    <row r="10" spans="1:19" x14ac:dyDescent="0.2">
      <c r="B10" s="35" t="s">
        <v>33</v>
      </c>
      <c r="D10" s="36"/>
      <c r="E10" s="35" t="s">
        <v>41</v>
      </c>
      <c r="G10" s="36"/>
      <c r="H10" s="35" t="s">
        <v>54</v>
      </c>
      <c r="I10" s="35" t="s">
        <v>65</v>
      </c>
      <c r="K10" s="35" t="s">
        <v>69</v>
      </c>
    </row>
    <row r="11" spans="1:19" x14ac:dyDescent="0.2">
      <c r="B11" s="35" t="s">
        <v>56</v>
      </c>
      <c r="C11" s="36" t="s">
        <v>37</v>
      </c>
      <c r="D11" s="36"/>
      <c r="E11" s="35" t="s">
        <v>75</v>
      </c>
      <c r="F11" s="36" t="s">
        <v>67</v>
      </c>
      <c r="G11" s="36"/>
      <c r="H11" s="36" t="s">
        <v>37</v>
      </c>
      <c r="I11" s="35" t="s">
        <v>38</v>
      </c>
      <c r="J11" s="36" t="s">
        <v>37</v>
      </c>
      <c r="K11" s="36" t="s">
        <v>67</v>
      </c>
      <c r="L11" s="36"/>
    </row>
    <row r="12" spans="1:19" x14ac:dyDescent="0.2">
      <c r="B12" s="36"/>
      <c r="C12" s="36"/>
      <c r="D12" s="36"/>
      <c r="E12" s="35" t="s">
        <v>37</v>
      </c>
      <c r="G12" s="36"/>
      <c r="H12" s="35" t="s">
        <v>50</v>
      </c>
      <c r="I12" s="35" t="s">
        <v>69</v>
      </c>
      <c r="K12" s="35" t="s">
        <v>74</v>
      </c>
    </row>
    <row r="13" spans="1:19" x14ac:dyDescent="0.2">
      <c r="B13" s="36"/>
      <c r="C13" s="36"/>
      <c r="D13" s="36"/>
      <c r="E13" s="35" t="s">
        <v>56</v>
      </c>
      <c r="F13" s="36"/>
      <c r="G13" s="36"/>
      <c r="H13" s="36" t="s">
        <v>60</v>
      </c>
      <c r="I13" s="40" t="s">
        <v>40</v>
      </c>
      <c r="J13" s="36" t="s">
        <v>69</v>
      </c>
      <c r="K13" s="36" t="s">
        <v>41</v>
      </c>
    </row>
    <row r="14" spans="1:19" x14ac:dyDescent="0.2">
      <c r="B14" s="36"/>
      <c r="C14" s="36"/>
      <c r="D14" s="36"/>
      <c r="E14" s="36"/>
      <c r="G14" s="36"/>
      <c r="H14" s="35" t="s">
        <v>39</v>
      </c>
      <c r="I14" s="35" t="s">
        <v>36</v>
      </c>
      <c r="K14" s="35" t="s">
        <v>48</v>
      </c>
    </row>
    <row r="15" spans="1:19" x14ac:dyDescent="0.2">
      <c r="B15" s="36"/>
      <c r="C15" s="36"/>
      <c r="D15" s="36"/>
      <c r="E15" s="36"/>
      <c r="F15" s="36"/>
      <c r="G15" s="36"/>
      <c r="H15" s="36">
        <v>9</v>
      </c>
      <c r="I15" s="35" t="s">
        <v>45</v>
      </c>
      <c r="J15" s="36" t="s">
        <v>45</v>
      </c>
      <c r="K15" s="36" t="s">
        <v>61</v>
      </c>
      <c r="L15" s="36"/>
    </row>
    <row r="16" spans="1:19" x14ac:dyDescent="0.2">
      <c r="B16" s="36"/>
      <c r="C16" s="36"/>
      <c r="D16" s="36"/>
      <c r="E16" s="36"/>
      <c r="F16" s="36"/>
      <c r="G16" s="36"/>
      <c r="H16" s="35" t="s">
        <v>71</v>
      </c>
      <c r="I16" s="35" t="s">
        <v>57</v>
      </c>
      <c r="K16" s="35" t="s">
        <v>33</v>
      </c>
    </row>
    <row r="17" spans="2:12" x14ac:dyDescent="0.2">
      <c r="B17" s="36"/>
      <c r="C17" s="36"/>
      <c r="D17" s="36"/>
      <c r="E17" s="36"/>
      <c r="F17" s="36"/>
      <c r="G17" s="36"/>
      <c r="H17" s="36" t="s">
        <v>56</v>
      </c>
      <c r="I17" s="35" t="s">
        <v>44</v>
      </c>
      <c r="J17" s="36" t="s">
        <v>61</v>
      </c>
      <c r="K17" s="36" t="s">
        <v>37</v>
      </c>
      <c r="L17" s="36"/>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96B240-C07F-4362-A10B-89BAFDF67EB8}">
  <sheetPr codeName="Sheet9">
    <tabColor rgb="FF66FF33"/>
  </sheetPr>
  <dimension ref="A1:S17"/>
  <sheetViews>
    <sheetView workbookViewId="0">
      <selection activeCell="A2" sqref="A2"/>
    </sheetView>
  </sheetViews>
  <sheetFormatPr baseColWidth="10" defaultColWidth="8.83203125" defaultRowHeight="15" x14ac:dyDescent="0.2"/>
  <sheetData>
    <row r="1" spans="1:19" x14ac:dyDescent="0.2">
      <c r="A1" s="69" t="s">
        <v>403</v>
      </c>
      <c r="M1" s="1"/>
      <c r="N1" s="33"/>
      <c r="O1" s="34"/>
      <c r="S1" s="1"/>
    </row>
    <row r="2" spans="1:19" x14ac:dyDescent="0.2">
      <c r="B2" s="35" t="s">
        <v>32</v>
      </c>
      <c r="C2" s="35" t="s">
        <v>33</v>
      </c>
      <c r="D2" s="36"/>
      <c r="E2" s="35" t="s">
        <v>34</v>
      </c>
      <c r="F2" s="35" t="s">
        <v>41</v>
      </c>
      <c r="G2" s="36"/>
      <c r="H2" s="35" t="s">
        <v>34</v>
      </c>
      <c r="I2" s="35" t="s">
        <v>36</v>
      </c>
      <c r="J2" s="35" t="s">
        <v>37</v>
      </c>
      <c r="K2" s="35" t="s">
        <v>38</v>
      </c>
    </row>
    <row r="3" spans="1:19" x14ac:dyDescent="0.2">
      <c r="B3" s="36" t="s">
        <v>38</v>
      </c>
      <c r="C3" s="36" t="s">
        <v>39</v>
      </c>
      <c r="D3" s="36"/>
      <c r="E3" s="36" t="s">
        <v>34</v>
      </c>
      <c r="F3" s="37" t="s">
        <v>41</v>
      </c>
      <c r="G3" s="36"/>
      <c r="H3" s="36" t="s">
        <v>41</v>
      </c>
      <c r="I3" s="36" t="s">
        <v>32</v>
      </c>
      <c r="J3" s="36" t="s">
        <v>48</v>
      </c>
      <c r="K3" s="36" t="s">
        <v>33</v>
      </c>
      <c r="L3" s="36"/>
      <c r="N3" s="38" t="s">
        <v>33</v>
      </c>
      <c r="O3" s="38" t="s">
        <v>43</v>
      </c>
      <c r="P3" s="39" t="s">
        <v>42</v>
      </c>
    </row>
    <row r="4" spans="1:19" x14ac:dyDescent="0.2">
      <c r="B4" s="35" t="s">
        <v>44</v>
      </c>
      <c r="C4" s="40" t="s">
        <v>40</v>
      </c>
      <c r="D4" s="36"/>
      <c r="E4" s="35" t="s">
        <v>74</v>
      </c>
      <c r="F4" s="35" t="s">
        <v>34</v>
      </c>
      <c r="G4" s="36"/>
      <c r="H4" s="35" t="s">
        <v>33</v>
      </c>
      <c r="I4" s="35" t="s">
        <v>38</v>
      </c>
      <c r="J4" s="40" t="s">
        <v>38</v>
      </c>
      <c r="K4" s="40" t="s">
        <v>40</v>
      </c>
      <c r="N4" s="39">
        <v>9</v>
      </c>
      <c r="O4" s="41" t="s">
        <v>76</v>
      </c>
      <c r="P4" s="38" t="s">
        <v>46</v>
      </c>
    </row>
    <row r="5" spans="1:19" x14ac:dyDescent="0.2">
      <c r="B5" s="36" t="s">
        <v>34</v>
      </c>
      <c r="C5" s="36" t="s">
        <v>47</v>
      </c>
      <c r="D5" s="36"/>
      <c r="E5" s="36" t="s">
        <v>48</v>
      </c>
      <c r="F5" s="36" t="s">
        <v>77</v>
      </c>
      <c r="G5" s="36"/>
      <c r="H5" s="37" t="s">
        <v>40</v>
      </c>
      <c r="I5" s="36" t="s">
        <v>49</v>
      </c>
      <c r="J5" s="36" t="s">
        <v>41</v>
      </c>
      <c r="K5" s="36" t="s">
        <v>51</v>
      </c>
      <c r="L5" s="37"/>
      <c r="N5" s="38">
        <v>2</v>
      </c>
      <c r="O5" s="42">
        <v>2</v>
      </c>
      <c r="P5" s="38" t="s">
        <v>52</v>
      </c>
    </row>
    <row r="6" spans="1:19" x14ac:dyDescent="0.2">
      <c r="B6" s="35" t="s">
        <v>42</v>
      </c>
      <c r="C6" s="35" t="s">
        <v>53</v>
      </c>
      <c r="D6" s="36"/>
      <c r="E6" s="35" t="s">
        <v>55</v>
      </c>
      <c r="F6" s="35" t="s">
        <v>74</v>
      </c>
      <c r="G6" s="23" t="s">
        <v>405</v>
      </c>
      <c r="H6" s="35" t="s">
        <v>45</v>
      </c>
      <c r="I6" s="35" t="s">
        <v>55</v>
      </c>
      <c r="J6" s="40" t="s">
        <v>40</v>
      </c>
      <c r="K6" s="35" t="s">
        <v>73</v>
      </c>
      <c r="N6" s="38">
        <v>0</v>
      </c>
      <c r="O6" s="38">
        <v>5</v>
      </c>
      <c r="P6" s="38" t="s">
        <v>57</v>
      </c>
    </row>
    <row r="7" spans="1:19" x14ac:dyDescent="0.2">
      <c r="B7" s="36" t="s">
        <v>58</v>
      </c>
      <c r="C7" s="36" t="s">
        <v>50</v>
      </c>
      <c r="D7" s="36"/>
      <c r="E7" s="36" t="s">
        <v>42</v>
      </c>
      <c r="F7" s="36" t="s">
        <v>50</v>
      </c>
      <c r="G7" s="36"/>
      <c r="H7" s="36" t="s">
        <v>59</v>
      </c>
      <c r="I7" s="36" t="s">
        <v>60</v>
      </c>
      <c r="J7" s="36" t="s">
        <v>61</v>
      </c>
      <c r="K7" s="36" t="s">
        <v>61</v>
      </c>
      <c r="L7" s="36"/>
    </row>
    <row r="8" spans="1:19" x14ac:dyDescent="0.2">
      <c r="B8" s="35" t="s">
        <v>62</v>
      </c>
      <c r="C8" s="35" t="s">
        <v>63</v>
      </c>
      <c r="D8" s="36"/>
      <c r="E8" s="40" t="s">
        <v>40</v>
      </c>
      <c r="F8" s="40" t="s">
        <v>34</v>
      </c>
      <c r="G8" s="36"/>
      <c r="H8" s="35" t="s">
        <v>39</v>
      </c>
      <c r="I8" s="35" t="s">
        <v>35</v>
      </c>
      <c r="J8" s="40" t="s">
        <v>55</v>
      </c>
      <c r="K8" s="35" t="s">
        <v>66</v>
      </c>
    </row>
    <row r="9" spans="1:19" x14ac:dyDescent="0.2">
      <c r="B9" s="36" t="s">
        <v>53</v>
      </c>
      <c r="C9" s="36" t="s">
        <v>47</v>
      </c>
      <c r="D9" s="36"/>
      <c r="E9" s="36" t="s">
        <v>64</v>
      </c>
      <c r="F9" s="36" t="s">
        <v>39</v>
      </c>
      <c r="G9" s="36"/>
      <c r="H9" s="36" t="s">
        <v>48</v>
      </c>
      <c r="I9" s="36" t="s">
        <v>41</v>
      </c>
      <c r="J9" s="36" t="s">
        <v>74</v>
      </c>
      <c r="K9" s="36" t="s">
        <v>39</v>
      </c>
      <c r="L9" s="36"/>
    </row>
    <row r="10" spans="1:19" x14ac:dyDescent="0.2">
      <c r="B10" s="35" t="s">
        <v>33</v>
      </c>
      <c r="C10" s="35" t="s">
        <v>56</v>
      </c>
      <c r="D10" s="36"/>
      <c r="E10" s="35" t="s">
        <v>41</v>
      </c>
      <c r="F10" s="35" t="s">
        <v>75</v>
      </c>
      <c r="G10" s="36"/>
      <c r="H10" s="35" t="s">
        <v>54</v>
      </c>
      <c r="I10" s="35" t="s">
        <v>65</v>
      </c>
      <c r="J10" s="35" t="s">
        <v>38</v>
      </c>
      <c r="K10" s="35" t="s">
        <v>69</v>
      </c>
    </row>
    <row r="11" spans="1:19" x14ac:dyDescent="0.2">
      <c r="B11" s="36" t="s">
        <v>48</v>
      </c>
      <c r="C11" s="36" t="s">
        <v>37</v>
      </c>
      <c r="D11" s="36"/>
      <c r="E11" s="36" t="s">
        <v>66</v>
      </c>
      <c r="F11" s="36" t="s">
        <v>67</v>
      </c>
      <c r="G11" s="36"/>
      <c r="H11" s="36" t="s">
        <v>37</v>
      </c>
      <c r="I11" s="36" t="s">
        <v>61</v>
      </c>
      <c r="J11" s="36" t="s">
        <v>37</v>
      </c>
      <c r="K11" s="36" t="s">
        <v>67</v>
      </c>
      <c r="L11" s="36"/>
    </row>
    <row r="12" spans="1:19" x14ac:dyDescent="0.2">
      <c r="B12" s="36"/>
      <c r="C12" s="36"/>
      <c r="D12" s="36"/>
      <c r="E12" s="35" t="s">
        <v>37</v>
      </c>
      <c r="F12" s="35" t="s">
        <v>56</v>
      </c>
      <c r="G12" s="36"/>
      <c r="H12" s="35" t="s">
        <v>50</v>
      </c>
      <c r="I12" s="35" t="s">
        <v>69</v>
      </c>
      <c r="J12" s="40" t="s">
        <v>40</v>
      </c>
      <c r="K12" s="35" t="s">
        <v>74</v>
      </c>
    </row>
    <row r="13" spans="1:19" x14ac:dyDescent="0.2">
      <c r="B13" s="36"/>
      <c r="C13" s="36"/>
      <c r="D13" s="36"/>
      <c r="E13" s="36"/>
      <c r="F13" s="36"/>
      <c r="G13" s="36"/>
      <c r="H13" s="36" t="s">
        <v>60</v>
      </c>
      <c r="I13" s="36" t="s">
        <v>68</v>
      </c>
      <c r="J13" s="36" t="s">
        <v>69</v>
      </c>
      <c r="K13" s="36" t="s">
        <v>41</v>
      </c>
    </row>
    <row r="14" spans="1:19" x14ac:dyDescent="0.2">
      <c r="B14" s="36"/>
      <c r="C14" s="36"/>
      <c r="D14" s="36"/>
      <c r="E14" s="36"/>
      <c r="F14" s="36"/>
      <c r="G14" s="36"/>
      <c r="H14" s="35" t="s">
        <v>39</v>
      </c>
      <c r="I14" s="35" t="s">
        <v>36</v>
      </c>
      <c r="J14" s="35" t="s">
        <v>45</v>
      </c>
      <c r="K14" s="35" t="s">
        <v>48</v>
      </c>
    </row>
    <row r="15" spans="1:19" x14ac:dyDescent="0.2">
      <c r="B15" s="36"/>
      <c r="C15" s="36"/>
      <c r="D15" s="36"/>
      <c r="E15" s="36"/>
      <c r="F15" s="36"/>
      <c r="G15" s="36"/>
      <c r="H15" s="36">
        <v>9</v>
      </c>
      <c r="I15" s="36" t="s">
        <v>70</v>
      </c>
      <c r="J15" s="36" t="s">
        <v>45</v>
      </c>
      <c r="K15" s="36" t="s">
        <v>61</v>
      </c>
      <c r="L15" s="36"/>
    </row>
    <row r="16" spans="1:19" x14ac:dyDescent="0.2">
      <c r="B16" s="36"/>
      <c r="C16" s="36"/>
      <c r="D16" s="36"/>
      <c r="E16" s="36"/>
      <c r="F16" s="36"/>
      <c r="G16" s="36"/>
      <c r="H16" s="35" t="s">
        <v>71</v>
      </c>
      <c r="I16" s="35" t="s">
        <v>57</v>
      </c>
      <c r="J16" s="35" t="s">
        <v>44</v>
      </c>
      <c r="K16" s="35" t="s">
        <v>33</v>
      </c>
    </row>
    <row r="17" spans="2:12" x14ac:dyDescent="0.2">
      <c r="B17" s="36"/>
      <c r="C17" s="36"/>
      <c r="D17" s="36"/>
      <c r="E17" s="36"/>
      <c r="F17" s="36"/>
      <c r="G17" s="36"/>
      <c r="H17" s="36" t="s">
        <v>56</v>
      </c>
      <c r="I17" s="36" t="s">
        <v>72</v>
      </c>
      <c r="J17" s="36" t="s">
        <v>61</v>
      </c>
      <c r="K17" s="36" t="s">
        <v>37</v>
      </c>
      <c r="L17" s="36"/>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E134"/>
  <sheetViews>
    <sheetView workbookViewId="0">
      <selection activeCell="E2" sqref="E2"/>
    </sheetView>
  </sheetViews>
  <sheetFormatPr baseColWidth="10" defaultColWidth="8.83203125" defaultRowHeight="15" x14ac:dyDescent="0.2"/>
  <cols>
    <col min="1" max="3" width="14.5" style="1" customWidth="1"/>
    <col min="4" max="4" width="32.1640625" style="1" customWidth="1"/>
  </cols>
  <sheetData>
    <row r="1" spans="1:5" x14ac:dyDescent="0.2">
      <c r="A1" s="4" t="s">
        <v>5</v>
      </c>
      <c r="E1" t="s">
        <v>301</v>
      </c>
    </row>
    <row r="2" spans="1:5" x14ac:dyDescent="0.2">
      <c r="A2" s="2" t="s">
        <v>10</v>
      </c>
      <c r="B2" s="2" t="s">
        <v>0</v>
      </c>
      <c r="C2" s="2" t="s">
        <v>4</v>
      </c>
      <c r="D2" s="2" t="s">
        <v>11</v>
      </c>
      <c r="E2" t="s">
        <v>409</v>
      </c>
    </row>
    <row r="3" spans="1:5" x14ac:dyDescent="0.2">
      <c r="A3" s="2" t="s">
        <v>410</v>
      </c>
      <c r="B3" s="2" t="s">
        <v>405</v>
      </c>
      <c r="C3" s="2" t="s">
        <v>406</v>
      </c>
      <c r="D3" s="64">
        <v>45715.435581481484</v>
      </c>
      <c r="E3" t="s">
        <v>408</v>
      </c>
    </row>
    <row r="4" spans="1:5" x14ac:dyDescent="0.2">
      <c r="A4" s="2"/>
      <c r="B4" s="2"/>
      <c r="C4" s="2"/>
      <c r="D4" s="64"/>
    </row>
    <row r="5" spans="1:5" x14ac:dyDescent="0.2">
      <c r="A5"/>
      <c r="B5"/>
      <c r="C5"/>
      <c r="D5" s="7"/>
      <c r="E5" t="s">
        <v>407</v>
      </c>
    </row>
    <row r="6" spans="1:5" x14ac:dyDescent="0.2">
      <c r="A6"/>
      <c r="B6"/>
      <c r="C6"/>
      <c r="D6" s="7"/>
    </row>
    <row r="7" spans="1:5" x14ac:dyDescent="0.2">
      <c r="A7"/>
      <c r="B7"/>
      <c r="C7"/>
      <c r="D7" s="7"/>
    </row>
    <row r="8" spans="1:5" x14ac:dyDescent="0.2">
      <c r="A8"/>
      <c r="B8"/>
      <c r="C8"/>
      <c r="D8" s="7"/>
    </row>
    <row r="9" spans="1:5" x14ac:dyDescent="0.2">
      <c r="A9"/>
      <c r="B9"/>
      <c r="C9"/>
      <c r="D9" s="7"/>
    </row>
    <row r="10" spans="1:5" x14ac:dyDescent="0.2">
      <c r="A10"/>
      <c r="B10"/>
      <c r="C10" s="7"/>
      <c r="D10"/>
    </row>
    <row r="11" spans="1:5" x14ac:dyDescent="0.2">
      <c r="A11"/>
      <c r="B11"/>
      <c r="C11" s="7"/>
      <c r="D11"/>
    </row>
    <row r="12" spans="1:5" x14ac:dyDescent="0.2">
      <c r="A12"/>
      <c r="B12"/>
      <c r="C12" s="7"/>
      <c r="D12"/>
    </row>
    <row r="13" spans="1:5" x14ac:dyDescent="0.2">
      <c r="A13"/>
      <c r="B13"/>
      <c r="C13" s="7"/>
      <c r="D13"/>
    </row>
    <row r="14" spans="1:5" x14ac:dyDescent="0.2">
      <c r="A14"/>
      <c r="B14"/>
      <c r="C14" s="7"/>
      <c r="D14"/>
    </row>
    <row r="15" spans="1:5" x14ac:dyDescent="0.2">
      <c r="A15"/>
      <c r="B15"/>
      <c r="C15" s="7"/>
      <c r="D15"/>
    </row>
    <row r="16" spans="1:5" x14ac:dyDescent="0.2">
      <c r="A16"/>
      <c r="B16"/>
      <c r="C16" s="7"/>
      <c r="D16"/>
    </row>
    <row r="17" spans="1:4" x14ac:dyDescent="0.2">
      <c r="A17"/>
      <c r="B17"/>
      <c r="C17" s="7"/>
      <c r="D17"/>
    </row>
    <row r="18" spans="1:4" x14ac:dyDescent="0.2">
      <c r="A18"/>
      <c r="B18"/>
      <c r="C18" s="7"/>
      <c r="D18"/>
    </row>
    <row r="19" spans="1:4" x14ac:dyDescent="0.2">
      <c r="A19"/>
      <c r="B19"/>
      <c r="C19" s="7"/>
      <c r="D19"/>
    </row>
    <row r="20" spans="1:4" x14ac:dyDescent="0.2">
      <c r="A20"/>
      <c r="B20"/>
      <c r="C20" s="7"/>
      <c r="D20"/>
    </row>
    <row r="21" spans="1:4" x14ac:dyDescent="0.2">
      <c r="C21" s="5"/>
    </row>
    <row r="22" spans="1:4" x14ac:dyDescent="0.2">
      <c r="C22" s="5"/>
    </row>
    <row r="23" spans="1:4" x14ac:dyDescent="0.2">
      <c r="A23" s="2"/>
      <c r="B23" s="2"/>
      <c r="C23" s="3"/>
      <c r="D23" s="2"/>
    </row>
    <row r="24" spans="1:4" x14ac:dyDescent="0.2">
      <c r="A24" s="2"/>
      <c r="B24" s="2"/>
      <c r="C24" s="3"/>
      <c r="D24" s="2"/>
    </row>
    <row r="25" spans="1:4" x14ac:dyDescent="0.2">
      <c r="A25" s="2"/>
      <c r="B25" s="2"/>
      <c r="C25" s="3"/>
      <c r="D25" s="2"/>
    </row>
    <row r="26" spans="1:4" x14ac:dyDescent="0.2">
      <c r="C26" s="5"/>
    </row>
    <row r="27" spans="1:4" x14ac:dyDescent="0.2">
      <c r="A27" s="2"/>
      <c r="B27" s="2"/>
      <c r="C27" s="3"/>
      <c r="D27" s="2"/>
    </row>
    <row r="28" spans="1:4" x14ac:dyDescent="0.2">
      <c r="A28" s="2"/>
      <c r="B28" s="2"/>
      <c r="C28" s="3"/>
      <c r="D28" s="2"/>
    </row>
    <row r="29" spans="1:4" x14ac:dyDescent="0.2">
      <c r="A29" s="2"/>
      <c r="B29" s="2"/>
      <c r="C29" s="3"/>
      <c r="D29" s="2"/>
    </row>
    <row r="30" spans="1:4" x14ac:dyDescent="0.2">
      <c r="A30" s="2"/>
      <c r="B30" s="2"/>
      <c r="C30" s="3"/>
      <c r="D30" s="2"/>
    </row>
    <row r="31" spans="1:4" x14ac:dyDescent="0.2">
      <c r="A31" s="2"/>
      <c r="B31" s="2"/>
      <c r="C31" s="3"/>
      <c r="D31" s="2"/>
    </row>
    <row r="32" spans="1:4" x14ac:dyDescent="0.2">
      <c r="A32" s="2"/>
      <c r="B32" s="2"/>
      <c r="C32" s="3"/>
      <c r="D32" s="2"/>
    </row>
    <row r="33" spans="1:4" x14ac:dyDescent="0.2">
      <c r="A33" s="2"/>
      <c r="B33" s="2"/>
      <c r="C33" s="3"/>
      <c r="D33" s="2"/>
    </row>
    <row r="34" spans="1:4" x14ac:dyDescent="0.2">
      <c r="A34" s="2"/>
      <c r="B34" s="2"/>
      <c r="C34" s="3"/>
      <c r="D34" s="2"/>
    </row>
    <row r="35" spans="1:4" x14ac:dyDescent="0.2">
      <c r="A35" s="2"/>
      <c r="B35" s="2"/>
      <c r="C35" s="3"/>
      <c r="D35" s="2"/>
    </row>
    <row r="36" spans="1:4" x14ac:dyDescent="0.2">
      <c r="A36" s="2"/>
      <c r="B36" s="2"/>
      <c r="C36" s="3"/>
      <c r="D36" s="2"/>
    </row>
    <row r="37" spans="1:4" x14ac:dyDescent="0.2">
      <c r="A37" s="2"/>
      <c r="B37" s="2"/>
      <c r="C37" s="3"/>
      <c r="D37" s="2"/>
    </row>
    <row r="38" spans="1:4" x14ac:dyDescent="0.2">
      <c r="A38" s="2"/>
      <c r="B38" s="2"/>
      <c r="C38" s="3"/>
      <c r="D38" s="2"/>
    </row>
    <row r="39" spans="1:4" x14ac:dyDescent="0.2">
      <c r="A39" s="2"/>
      <c r="B39" s="2"/>
      <c r="C39" s="3"/>
      <c r="D39" s="2"/>
    </row>
    <row r="40" spans="1:4" x14ac:dyDescent="0.2">
      <c r="A40" s="2"/>
      <c r="B40" s="2"/>
      <c r="C40" s="3"/>
      <c r="D40" s="2"/>
    </row>
    <row r="41" spans="1:4" x14ac:dyDescent="0.2">
      <c r="A41" s="2"/>
      <c r="B41" s="2"/>
      <c r="C41" s="3"/>
      <c r="D41" s="2"/>
    </row>
    <row r="42" spans="1:4" x14ac:dyDescent="0.2">
      <c r="A42" s="2"/>
      <c r="B42" s="2"/>
      <c r="C42" s="3"/>
      <c r="D42" s="2"/>
    </row>
    <row r="43" spans="1:4" x14ac:dyDescent="0.2">
      <c r="A43" s="2"/>
      <c r="B43" s="2"/>
      <c r="C43" s="3"/>
      <c r="D43" s="2"/>
    </row>
    <row r="44" spans="1:4" x14ac:dyDescent="0.2">
      <c r="A44" s="2"/>
      <c r="B44" s="2"/>
      <c r="C44" s="3"/>
      <c r="D44" s="2"/>
    </row>
    <row r="45" spans="1:4" x14ac:dyDescent="0.2">
      <c r="A45" s="2"/>
      <c r="B45" s="2"/>
      <c r="C45" s="3"/>
      <c r="D45" s="2"/>
    </row>
    <row r="46" spans="1:4" x14ac:dyDescent="0.2">
      <c r="A46" s="2"/>
      <c r="B46" s="2"/>
      <c r="C46" s="3"/>
      <c r="D46" s="2"/>
    </row>
    <row r="47" spans="1:4" x14ac:dyDescent="0.2">
      <c r="A47" s="2"/>
      <c r="B47" s="2"/>
      <c r="C47" s="3"/>
      <c r="D47" s="2"/>
    </row>
    <row r="48" spans="1:4" x14ac:dyDescent="0.2">
      <c r="A48" s="2"/>
      <c r="B48" s="2"/>
      <c r="C48" s="3"/>
      <c r="D48" s="2"/>
    </row>
    <row r="49" spans="1:4" x14ac:dyDescent="0.2">
      <c r="A49" s="2"/>
      <c r="B49" s="2"/>
      <c r="C49" s="3"/>
      <c r="D49" s="2"/>
    </row>
    <row r="50" spans="1:4" x14ac:dyDescent="0.2">
      <c r="A50" s="2"/>
      <c r="B50" s="2"/>
      <c r="C50" s="3"/>
      <c r="D50" s="2"/>
    </row>
    <row r="51" spans="1:4" x14ac:dyDescent="0.2">
      <c r="A51" s="2"/>
      <c r="B51" s="2"/>
      <c r="C51" s="3"/>
      <c r="D51" s="2"/>
    </row>
    <row r="52" spans="1:4" x14ac:dyDescent="0.2">
      <c r="A52" s="2"/>
      <c r="B52" s="2"/>
      <c r="C52" s="3"/>
      <c r="D52" s="2"/>
    </row>
    <row r="53" spans="1:4" x14ac:dyDescent="0.2">
      <c r="A53" s="2"/>
      <c r="B53" s="2"/>
      <c r="C53" s="3"/>
      <c r="D53" s="2"/>
    </row>
    <row r="54" spans="1:4" x14ac:dyDescent="0.2">
      <c r="A54" s="2"/>
      <c r="B54" s="2"/>
      <c r="C54" s="3"/>
      <c r="D54" s="2"/>
    </row>
    <row r="55" spans="1:4" x14ac:dyDescent="0.2">
      <c r="A55" s="2"/>
      <c r="B55" s="2"/>
      <c r="C55" s="3"/>
      <c r="D55" s="2"/>
    </row>
    <row r="56" spans="1:4" x14ac:dyDescent="0.2">
      <c r="A56" s="2"/>
      <c r="B56" s="2"/>
      <c r="C56" s="3"/>
      <c r="D56" s="2"/>
    </row>
    <row r="57" spans="1:4" x14ac:dyDescent="0.2">
      <c r="A57" s="2"/>
      <c r="B57" s="2"/>
      <c r="C57" s="3"/>
      <c r="D57" s="2"/>
    </row>
    <row r="58" spans="1:4" x14ac:dyDescent="0.2">
      <c r="A58" s="2"/>
      <c r="B58" s="2"/>
      <c r="C58" s="3"/>
      <c r="D58" s="2"/>
    </row>
    <row r="59" spans="1:4" x14ac:dyDescent="0.2">
      <c r="A59" s="2"/>
      <c r="B59" s="2"/>
      <c r="C59" s="3"/>
      <c r="D59" s="2"/>
    </row>
    <row r="60" spans="1:4" x14ac:dyDescent="0.2">
      <c r="A60" s="2"/>
      <c r="B60" s="2"/>
      <c r="C60" s="3"/>
      <c r="D60" s="2"/>
    </row>
    <row r="61" spans="1:4" x14ac:dyDescent="0.2">
      <c r="A61" s="2"/>
      <c r="B61" s="2"/>
      <c r="C61" s="3"/>
      <c r="D61" s="2"/>
    </row>
    <row r="62" spans="1:4" x14ac:dyDescent="0.2">
      <c r="A62" s="2"/>
      <c r="B62" s="2"/>
      <c r="C62" s="3"/>
      <c r="D62" s="2"/>
    </row>
    <row r="63" spans="1:4" x14ac:dyDescent="0.2">
      <c r="A63" s="2"/>
      <c r="B63" s="2"/>
      <c r="C63" s="3"/>
      <c r="D63" s="2"/>
    </row>
    <row r="64" spans="1:4" x14ac:dyDescent="0.2">
      <c r="A64" s="2"/>
      <c r="B64" s="2"/>
      <c r="C64" s="3"/>
      <c r="D64" s="2"/>
    </row>
    <row r="65" spans="1:4" x14ac:dyDescent="0.2">
      <c r="A65" s="2"/>
      <c r="B65" s="2"/>
      <c r="C65" s="3"/>
      <c r="D65" s="2"/>
    </row>
    <row r="66" spans="1:4" x14ac:dyDescent="0.2">
      <c r="A66" s="2"/>
      <c r="B66" s="2"/>
      <c r="C66" s="3"/>
      <c r="D66" s="2"/>
    </row>
    <row r="67" spans="1:4" x14ac:dyDescent="0.2">
      <c r="A67" s="2"/>
      <c r="B67" s="2"/>
      <c r="C67" s="3"/>
      <c r="D67" s="2"/>
    </row>
    <row r="68" spans="1:4" x14ac:dyDescent="0.2">
      <c r="A68" s="2"/>
      <c r="B68" s="2"/>
      <c r="C68" s="3"/>
      <c r="D68" s="2"/>
    </row>
    <row r="69" spans="1:4" x14ac:dyDescent="0.2">
      <c r="A69" s="2"/>
      <c r="B69" s="2"/>
      <c r="C69" s="3"/>
      <c r="D69" s="2"/>
    </row>
    <row r="70" spans="1:4" x14ac:dyDescent="0.2">
      <c r="A70" s="2"/>
      <c r="B70" s="2"/>
      <c r="C70" s="3"/>
      <c r="D70" s="2"/>
    </row>
    <row r="71" spans="1:4" x14ac:dyDescent="0.2">
      <c r="A71" s="2"/>
      <c r="B71" s="3"/>
      <c r="C71" s="2"/>
      <c r="D71" s="2"/>
    </row>
    <row r="72" spans="1:4" x14ac:dyDescent="0.2">
      <c r="A72" s="2"/>
      <c r="B72" s="3"/>
      <c r="C72" s="2"/>
      <c r="D72" s="2"/>
    </row>
    <row r="73" spans="1:4" x14ac:dyDescent="0.2">
      <c r="A73" s="2"/>
      <c r="B73" s="3"/>
      <c r="C73" s="2"/>
      <c r="D73" s="2"/>
    </row>
    <row r="74" spans="1:4" x14ac:dyDescent="0.2">
      <c r="A74" s="2"/>
      <c r="B74" s="3"/>
      <c r="C74" s="2"/>
      <c r="D74" s="2"/>
    </row>
    <row r="75" spans="1:4" x14ac:dyDescent="0.2">
      <c r="A75" s="2"/>
      <c r="B75" s="3"/>
      <c r="C75" s="2"/>
      <c r="D75" s="2"/>
    </row>
    <row r="76" spans="1:4" x14ac:dyDescent="0.2">
      <c r="A76" s="2"/>
      <c r="B76" s="3"/>
      <c r="C76" s="2"/>
      <c r="D76" s="2"/>
    </row>
    <row r="77" spans="1:4" x14ac:dyDescent="0.2">
      <c r="A77" s="2"/>
      <c r="B77" s="3"/>
      <c r="C77" s="2"/>
      <c r="D77" s="2"/>
    </row>
    <row r="78" spans="1:4" x14ac:dyDescent="0.2">
      <c r="A78" s="2"/>
      <c r="B78" s="3"/>
      <c r="C78" s="2"/>
      <c r="D78" s="2"/>
    </row>
    <row r="79" spans="1:4" x14ac:dyDescent="0.2">
      <c r="A79" s="2"/>
      <c r="B79" s="3"/>
      <c r="C79" s="2"/>
      <c r="D79" s="2"/>
    </row>
    <row r="80" spans="1:4" x14ac:dyDescent="0.2">
      <c r="A80" s="2"/>
      <c r="B80" s="3"/>
      <c r="C80" s="2"/>
      <c r="D80" s="2"/>
    </row>
    <row r="81" spans="1:4" x14ac:dyDescent="0.2">
      <c r="A81" s="2"/>
      <c r="B81" s="3"/>
      <c r="C81" s="2"/>
      <c r="D81" s="2"/>
    </row>
    <row r="82" spans="1:4" x14ac:dyDescent="0.2">
      <c r="A82" s="2"/>
      <c r="B82" s="3"/>
      <c r="C82" s="2"/>
      <c r="D82" s="2"/>
    </row>
    <row r="83" spans="1:4" x14ac:dyDescent="0.2">
      <c r="A83" s="2"/>
      <c r="B83" s="3"/>
      <c r="C83" s="2"/>
      <c r="D83" s="2"/>
    </row>
    <row r="84" spans="1:4" x14ac:dyDescent="0.2">
      <c r="A84" s="2"/>
      <c r="B84" s="3"/>
      <c r="C84" s="2"/>
      <c r="D84" s="2"/>
    </row>
    <row r="85" spans="1:4" x14ac:dyDescent="0.2">
      <c r="A85" s="2"/>
      <c r="B85" s="3"/>
      <c r="C85" s="2"/>
      <c r="D85" s="2"/>
    </row>
    <row r="86" spans="1:4" x14ac:dyDescent="0.2">
      <c r="A86" s="2"/>
      <c r="B86" s="3"/>
      <c r="C86" s="2"/>
      <c r="D86" s="2"/>
    </row>
    <row r="87" spans="1:4" x14ac:dyDescent="0.2">
      <c r="A87" s="2"/>
      <c r="B87" s="3"/>
      <c r="C87" s="2"/>
      <c r="D87" s="2"/>
    </row>
    <row r="88" spans="1:4" x14ac:dyDescent="0.2">
      <c r="A88" s="2"/>
      <c r="B88" s="3"/>
      <c r="C88" s="2"/>
      <c r="D88" s="2"/>
    </row>
    <row r="89" spans="1:4" x14ac:dyDescent="0.2">
      <c r="A89" s="2"/>
      <c r="B89" s="3"/>
      <c r="C89" s="2"/>
      <c r="D89" s="2"/>
    </row>
    <row r="90" spans="1:4" x14ac:dyDescent="0.2">
      <c r="A90" s="2"/>
      <c r="B90" s="3"/>
      <c r="C90" s="2"/>
      <c r="D90" s="2"/>
    </row>
    <row r="91" spans="1:4" x14ac:dyDescent="0.2">
      <c r="A91" s="2"/>
      <c r="B91" s="3"/>
      <c r="C91" s="2"/>
      <c r="D91" s="2"/>
    </row>
    <row r="92" spans="1:4" x14ac:dyDescent="0.2">
      <c r="A92" s="2"/>
      <c r="B92" s="3"/>
      <c r="C92" s="2"/>
      <c r="D92" s="2"/>
    </row>
    <row r="93" spans="1:4" x14ac:dyDescent="0.2">
      <c r="B93" s="5"/>
    </row>
    <row r="94" spans="1:4" x14ac:dyDescent="0.2">
      <c r="B94" s="5"/>
    </row>
    <row r="95" spans="1:4" x14ac:dyDescent="0.2">
      <c r="B95" s="5"/>
    </row>
    <row r="96" spans="1:4" x14ac:dyDescent="0.2">
      <c r="B96" s="5"/>
    </row>
    <row r="97" spans="2:2" x14ac:dyDescent="0.2">
      <c r="B97" s="5"/>
    </row>
    <row r="98" spans="2:2" x14ac:dyDescent="0.2">
      <c r="B98" s="5"/>
    </row>
    <row r="99" spans="2:2" x14ac:dyDescent="0.2">
      <c r="B99" s="5"/>
    </row>
    <row r="100" spans="2:2" x14ac:dyDescent="0.2">
      <c r="B100" s="5"/>
    </row>
    <row r="101" spans="2:2" x14ac:dyDescent="0.2">
      <c r="B101" s="5"/>
    </row>
    <row r="103" spans="2:2" x14ac:dyDescent="0.2">
      <c r="B103" s="5"/>
    </row>
    <row r="104" spans="2:2" x14ac:dyDescent="0.2">
      <c r="B104" s="5"/>
    </row>
    <row r="105" spans="2:2" x14ac:dyDescent="0.2">
      <c r="B105" s="5"/>
    </row>
    <row r="107" spans="2:2" x14ac:dyDescent="0.2">
      <c r="B107" s="5"/>
    </row>
    <row r="108" spans="2:2" x14ac:dyDescent="0.2">
      <c r="B108" s="5"/>
    </row>
    <row r="109" spans="2:2" x14ac:dyDescent="0.2">
      <c r="B109" s="5"/>
    </row>
    <row r="110" spans="2:2" x14ac:dyDescent="0.2">
      <c r="B110" s="5"/>
    </row>
    <row r="111" spans="2:2" x14ac:dyDescent="0.2">
      <c r="B111" s="5"/>
    </row>
    <row r="112" spans="2:2" x14ac:dyDescent="0.2">
      <c r="B112" s="5"/>
    </row>
    <row r="113" spans="2:2" x14ac:dyDescent="0.2">
      <c r="B113" s="5"/>
    </row>
    <row r="114" spans="2:2" x14ac:dyDescent="0.2">
      <c r="B114" s="5"/>
    </row>
    <row r="115" spans="2:2" x14ac:dyDescent="0.2">
      <c r="B115" s="5"/>
    </row>
    <row r="116" spans="2:2" x14ac:dyDescent="0.2">
      <c r="B116" s="5"/>
    </row>
    <row r="117" spans="2:2" x14ac:dyDescent="0.2">
      <c r="B117" s="5"/>
    </row>
    <row r="120" spans="2:2" x14ac:dyDescent="0.2">
      <c r="B120" s="5"/>
    </row>
    <row r="121" spans="2:2" x14ac:dyDescent="0.2">
      <c r="B121" s="5"/>
    </row>
    <row r="122" spans="2:2" x14ac:dyDescent="0.2">
      <c r="B122" s="5"/>
    </row>
    <row r="123" spans="2:2" x14ac:dyDescent="0.2">
      <c r="B123" s="5"/>
    </row>
    <row r="124" spans="2:2" x14ac:dyDescent="0.2">
      <c r="B124" s="5"/>
    </row>
    <row r="125" spans="2:2" x14ac:dyDescent="0.2">
      <c r="B125" s="5"/>
    </row>
    <row r="126" spans="2:2" x14ac:dyDescent="0.2">
      <c r="B126" s="5"/>
    </row>
    <row r="127" spans="2:2" x14ac:dyDescent="0.2">
      <c r="B127" s="5"/>
    </row>
    <row r="128" spans="2:2" x14ac:dyDescent="0.2">
      <c r="B128" s="5"/>
    </row>
    <row r="129" spans="2:2" x14ac:dyDescent="0.2">
      <c r="B129" s="5"/>
    </row>
    <row r="130" spans="2:2" x14ac:dyDescent="0.2">
      <c r="B130" s="5"/>
    </row>
    <row r="131" spans="2:2" x14ac:dyDescent="0.2">
      <c r="B131" s="5"/>
    </row>
    <row r="132" spans="2:2" x14ac:dyDescent="0.2">
      <c r="B132" s="5"/>
    </row>
    <row r="134" spans="2:2" x14ac:dyDescent="0.2">
      <c r="B134" s="6"/>
    </row>
  </sheetData>
  <sheetProtection formatCells="0" formatColumns="0" formatRows="0" insertColumns="0" insertRows="0" selectLockedCells="1"/>
  <protectedRanges>
    <protectedRange sqref="D82:D97 A82:B97 A98:D1048576 A2:D81" name="Range1"/>
  </protectedRanges>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9</vt:i4>
      </vt:variant>
    </vt:vector>
  </HeadingPairs>
  <TitlesOfParts>
    <vt:vector size="9" baseType="lpstr">
      <vt:lpstr>StartHere</vt:lpstr>
      <vt:lpstr>MList</vt:lpstr>
      <vt:lpstr>GAdata</vt:lpstr>
      <vt:lpstr>PayData</vt:lpstr>
      <vt:lpstr>Data Source</vt:lpstr>
      <vt:lpstr>CCp</vt:lpstr>
      <vt:lpstr>ICp</vt:lpstr>
      <vt:lpstr>CPY</vt:lpstr>
      <vt:lpstr>DECODE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Kurt Schmitz</dc:creator>
  <cp:keywords/>
  <dc:description/>
  <cp:lastModifiedBy>Amirat Otufale</cp:lastModifiedBy>
  <dcterms:created xsi:type="dcterms:W3CDTF">2017-10-26T20:43:12Z</dcterms:created>
  <dcterms:modified xsi:type="dcterms:W3CDTF">2025-03-04T02:35:33Z</dcterms:modified>
  <cp:category/>
</cp:coreProperties>
</file>